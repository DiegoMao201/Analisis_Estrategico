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iego Mauricio\Desktop\Analisis_Estrategico\"/>
    </mc:Choice>
  </mc:AlternateContent>
  <xr:revisionPtr revIDLastSave="0" documentId="13_ncr:1_{0059756E-E032-469B-83FF-141906DF1E54}" xr6:coauthVersionLast="47" xr6:coauthVersionMax="47" xr10:uidLastSave="{00000000-0000-0000-0000-000000000000}"/>
  <bookViews>
    <workbookView xWindow="-96" yWindow="0" windowWidth="11712" windowHeight="12336" activeTab="1" xr2:uid="{4FC2C70F-FC4A-4210-8DA5-2DC061F51367}"/>
  </bookViews>
  <sheets>
    <sheet name="Directorio 2025" sheetId="1" r:id="rId1"/>
    <sheet name="nuevos 2025 " sheetId="3" r:id="rId2"/>
    <sheet name="Cancelados 2025" sheetId="4" r:id="rId3"/>
    <sheet name="nuevos 2024" sheetId="2" r:id="rId4"/>
  </sheets>
  <definedNames>
    <definedName name="_xlnm._FilterDatabase" localSheetId="0" hidden="1">'Directorio 2025'!$A$1:$AI$161</definedName>
    <definedName name="_xlnm._FilterDatabase" localSheetId="1" hidden="1">'nuevos 2025 '!$A$1:$E$36</definedName>
    <definedName name="_xlnm.Print_Area" localSheetId="1">'nuevos 2025 '!$A$1:$I$36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157" i="1" l="1"/>
  <c r="I4" i="3"/>
  <c r="H4" i="3"/>
  <c r="D3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tc={426A0EC9-67E1-4963-A597-AF62A5928FA3}</author>
    <author>ALSUM Suscriptores Marítimos</author>
    <author>tc={B0EE6CD7-C55F-4010-9AE0-0DBFFC500054}</author>
  </authors>
  <commentList>
    <comment ref="O23" authorId="0" shapeId="0" xr:uid="{F20FD438-434E-4147-A297-E44BA76EEC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Informo que trabajo hasta el 30 de noviembre</t>
        </r>
      </text>
    </comment>
    <comment ref="D59" authorId="1" shapeId="0" xr:uid="{426A0EC9-67E1-4963-A597-AF62A5928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Intermediario de seguros
Corredores de reaseguro</t>
      </text>
    </comment>
    <comment ref="AA91" authorId="2" shapeId="0" xr:uid="{610CDD1E-02A5-4E12-ADC2-64D61496BCBC}">
      <text>
        <r>
          <rPr>
            <b/>
            <sz val="9"/>
            <color indexed="81"/>
            <rFont val="Tahoma"/>
            <family val="2"/>
          </rPr>
          <t>ALSUM Suscriptores Marítimos:</t>
        </r>
        <r>
          <rPr>
            <sz val="9"/>
            <color indexed="81"/>
            <rFont val="Tahoma"/>
            <family val="2"/>
          </rPr>
          <t xml:space="preserve">
NO PUBLICAR</t>
        </r>
      </text>
    </comment>
    <comment ref="A105" authorId="3" shapeId="0" xr:uid="{B0EE6CD7-C55F-4010-9AE0-0DBFFC50005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Cambiar nombre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ALSUM ALSUM</author>
    <author>Asociación Latinoamericana de Suscriptores Marítimos</author>
    <author>Admin</author>
  </authors>
  <commentList>
    <comment ref="D12" authorId="0" shapeId="0" xr:uid="{CC47D683-B0A6-422A-B6A4-F7A6334D90A4}">
      <text>
        <r>
          <rPr>
            <sz val="11"/>
            <color theme="1"/>
            <rFont val="Aptos Narrow"/>
            <family val="2"/>
            <scheme val="minor"/>
          </rPr>
          <t>ALSUM ALSUM:
Debe ser $2,500 para el otro año, se hizo descuento porque sera Patrocinador ORO</t>
        </r>
      </text>
    </comment>
    <comment ref="D17" authorId="1" shapeId="0" xr:uid="{A714D855-85A3-4E04-A2FC-DD07E636EF83}">
      <text>
        <r>
          <rPr>
            <b/>
            <sz val="9"/>
            <color indexed="81"/>
            <rFont val="Tahoma"/>
            <family val="2"/>
          </rPr>
          <t>Descuento Membresia 2025 en el 2026 debe ser $2.500</t>
        </r>
      </text>
    </comment>
    <comment ref="D18" authorId="1" shapeId="0" xr:uid="{533FC0D4-2FE3-4071-8359-12C833046EA4}">
      <text>
        <r>
          <rPr>
            <b/>
            <sz val="9"/>
            <color indexed="81"/>
            <rFont val="Tahoma"/>
            <family val="2"/>
          </rPr>
          <t>2,000 PERO SE HIZO DESCUENTE POR SER DE BRASIL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24" authorId="1" shapeId="0" xr:uid="{B8DA3348-CFFB-4278-8096-5CA61D102902}">
      <text>
        <r>
          <rPr>
            <b/>
            <sz val="9"/>
            <color indexed="81"/>
            <rFont val="Tahoma"/>
            <family val="2"/>
          </rPr>
          <t>Tiene 5 cupos de Eleanring</t>
        </r>
      </text>
    </comment>
    <comment ref="A29" authorId="1" shapeId="0" xr:uid="{BD05E36E-BC8F-446E-9563-4D7DBDEE7B6A}">
      <text>
        <r>
          <rPr>
            <b/>
            <sz val="9"/>
            <color indexed="81"/>
            <rFont val="Tahoma"/>
            <family val="2"/>
          </rPr>
          <t>La Membresia incluye 6 cupos Elearning: 6 Carga y Casco, de estos 2 de Siniestros</t>
        </r>
      </text>
    </comment>
    <comment ref="D31" authorId="1" shapeId="0" xr:uid="{4A5F9B2B-2D9C-46E8-9CED-4263A7E67795}">
      <text>
        <r>
          <rPr>
            <b/>
            <sz val="9"/>
            <color indexed="81"/>
            <rFont val="Tahoma"/>
            <family val="2"/>
          </rPr>
          <t>Revisar otro año. Valos descuento 2025 y Brasil.
Real: $3.500</t>
        </r>
      </text>
    </comment>
    <comment ref="D33" authorId="1" shapeId="0" xr:uid="{D03F0FCD-46C6-4485-AF3C-82FE173B5249}">
      <text>
        <r>
          <rPr>
            <b/>
            <sz val="9"/>
            <color indexed="81"/>
            <rFont val="Tahoma"/>
            <family val="2"/>
          </rPr>
          <t>Descuento 500 usd por ser patrocinador.. Otro año 2.000</t>
        </r>
      </text>
    </comment>
    <comment ref="D35" authorId="2" shapeId="0" xr:uid="{7AB8B405-DF0A-4A80-BF36-B383CA2080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Descuento del 50% este año, proximo 2.000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4" authorId="0" shapeId="0" xr:uid="{582D92E4-6437-4CB6-9F83-348349F8D0A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Mauricio Carvajal salio de Kennedys</t>
        </r>
      </text>
    </comment>
  </commentList>
</comments>
</file>

<file path=xl/sharedStrings.xml><?xml version="1.0" encoding="utf-8"?>
<sst xmlns="http://schemas.openxmlformats.org/spreadsheetml/2006/main" count="3339" uniqueCount="2065">
  <si>
    <t>Empresa</t>
  </si>
  <si>
    <t>País sede operación</t>
  </si>
  <si>
    <t xml:space="preserve">Países dónde tiene presencia </t>
  </si>
  <si>
    <t>Valor de la membresía</t>
  </si>
  <si>
    <t>Tipo de empresa</t>
  </si>
  <si>
    <t>Categoría ALSUM</t>
  </si>
  <si>
    <t>Categoria</t>
  </si>
  <si>
    <t>Confirmación de recepción correo convocatoria</t>
  </si>
  <si>
    <t>Quién confirmo la recepción de la información de la convocatoria</t>
  </si>
  <si>
    <t>Interés en postularse y a qué órgano</t>
  </si>
  <si>
    <t>Fecha confirmación</t>
  </si>
  <si>
    <t>Reponsable ALSUM confirmación</t>
  </si>
  <si>
    <t>Observación Convocatoria</t>
  </si>
  <si>
    <t>Nombre Delegado 1</t>
  </si>
  <si>
    <t>Correo 1</t>
  </si>
  <si>
    <t>Telefono fijo y/o #Whatsapp delegado 1</t>
  </si>
  <si>
    <t>Nombre Delegado 2</t>
  </si>
  <si>
    <t>Correo 2</t>
  </si>
  <si>
    <t>Telefono fijo y/o #Whatsapp delegado 2</t>
  </si>
  <si>
    <t>Nombre Delegado 3</t>
  </si>
  <si>
    <t>Correo 3</t>
  </si>
  <si>
    <t>Teléfono fijo y/o #Whatsapp delegado 3</t>
  </si>
  <si>
    <t>Nombre Delegado 4</t>
  </si>
  <si>
    <t>Correo 4</t>
  </si>
  <si>
    <t>Correo General empresa</t>
  </si>
  <si>
    <t>Dirección</t>
  </si>
  <si>
    <t>Teléfono Empresa</t>
  </si>
  <si>
    <t>ID / NIT / RUC /RFC</t>
  </si>
  <si>
    <t>Dominios</t>
  </si>
  <si>
    <t>ACTUALIZADO</t>
  </si>
  <si>
    <t>PUBLICADO EN LA WEB</t>
  </si>
  <si>
    <t>OBSERVACIONES</t>
  </si>
  <si>
    <t>Cel o Whatsapp con MSN o llamada</t>
  </si>
  <si>
    <t>Abaco</t>
  </si>
  <si>
    <t>México</t>
  </si>
  <si>
    <t>España, Portugal, Reino Unido, USA, Mexico, Guatemala, Colombia, Ecuador, Perú, Chile</t>
  </si>
  <si>
    <t>Ajustadores</t>
  </si>
  <si>
    <t>Asociado</t>
  </si>
  <si>
    <t>djsp</t>
  </si>
  <si>
    <t>App dice que Esteban no está disponible/ Cel de Jaime timbra sin rta , se manda WH al 320473... y piden enviar mail</t>
  </si>
  <si>
    <t>Esteban Suárez García</t>
  </si>
  <si>
    <t>esuarez@abacoadjusters.com</t>
  </si>
  <si>
    <t>(+57) 320 473 3659</t>
  </si>
  <si>
    <t>Jaime Linares Alarcón</t>
  </si>
  <si>
    <t>jlinares@abacoadjusters.com</t>
  </si>
  <si>
    <t>57 3138885035</t>
  </si>
  <si>
    <t>JAIME CARLOS JAQUE BARBERO</t>
  </si>
  <si>
    <t>JJAQUE@ABACOADJUSTERS.COM</t>
  </si>
  <si>
    <t xml:space="preserve"> INFO@ABACOADJUSTERS.COM</t>
  </si>
  <si>
    <t>C/ Alcalá, 498. 28027 - Madrid (España)</t>
  </si>
  <si>
    <t>+34686946324/ 34 91 375 04 90</t>
  </si>
  <si>
    <t>ESB85250140</t>
  </si>
  <si>
    <t>www.abacoadjusters.com</t>
  </si>
  <si>
    <t>OK</t>
  </si>
  <si>
    <t>Sí</t>
  </si>
  <si>
    <t>Respondió 4 dic, ok forms</t>
  </si>
  <si>
    <t>ABL Group</t>
  </si>
  <si>
    <t>Estados Unidos</t>
  </si>
  <si>
    <t xml:space="preserve">En America: Estados Unidos, Canada, Mexico, Brasil y Panama. Igualmente, oficinas en Europa, Asia, Africa y Oceania </t>
  </si>
  <si>
    <t>Risk Management</t>
  </si>
  <si>
    <t>SÍ</t>
  </si>
  <si>
    <t>Jose Rosas</t>
  </si>
  <si>
    <t>Va a validar cual les conviene y confirma por email</t>
  </si>
  <si>
    <t>jose.rosas@abl-group.com</t>
  </si>
  <si>
    <t>+507 64504264</t>
  </si>
  <si>
    <t>Irving Abadia Saez</t>
  </si>
  <si>
    <t>irving.abadia@abl-group.com</t>
  </si>
  <si>
    <t>+507 6342-1502</t>
  </si>
  <si>
    <t xml:space="preserve">10613 W Sam Houston Pkwy N, Houston, Texas 77064, Estados Unidos </t>
  </si>
  <si>
    <t>+507 64504264 /44 (0) 20 7264 3250</t>
  </si>
  <si>
    <t>76-0129822</t>
  </si>
  <si>
    <t>https://www.abl-group.com</t>
  </si>
  <si>
    <t>Respondió 12 dic, ok forms</t>
  </si>
  <si>
    <t>+50764504264</t>
  </si>
  <si>
    <t>timbra sin rta, se remite mail</t>
  </si>
  <si>
    <t>Addvalora - WMoller (se llamaa)W. MOLLER SAC (ADDVALORA-WMOLLER)</t>
  </si>
  <si>
    <t>Perú</t>
  </si>
  <si>
    <t>COLOMBIA, CHILE, BRASIL, MEXICO, ARGENTINA, ECUADOR, PARAGUAY, USA, ESPAÑA, ISRAEL, UK</t>
  </si>
  <si>
    <t>Alfieri Peirano</t>
  </si>
  <si>
    <t>Le interesa el de cascos y el de carga, el observatorio lo va a conversar, el jurídico no le interesa</t>
  </si>
  <si>
    <t>apeirano@addvalora-wmoller.com</t>
  </si>
  <si>
    <t>Heidi Peirano</t>
  </si>
  <si>
    <t>hpeirano@addvalora-wmoller.com</t>
  </si>
  <si>
    <t>postmaster@addvalora-wmoller.com</t>
  </si>
  <si>
    <t>CALLE PORTA 107 OF. 302, MIRAFLORES</t>
  </si>
  <si>
    <t>http://www.addvalora-wmoller.com/</t>
  </si>
  <si>
    <t xml:space="preserve">Respondió 28 nov, ok forms </t>
  </si>
  <si>
    <t>AIG - AMERICAN INTERNATIONAL GROUP</t>
  </si>
  <si>
    <t>Regional</t>
  </si>
  <si>
    <t>Aseguradora</t>
  </si>
  <si>
    <t>Miembro</t>
  </si>
  <si>
    <t>Amilcar</t>
  </si>
  <si>
    <t>Está validando los 4 organismos en la empresa</t>
  </si>
  <si>
    <t>Amilcar Spencer Fryszman</t>
  </si>
  <si>
    <t>amilcar.fryszman@aig.com</t>
  </si>
  <si>
    <t>T (+1) 786.777.7600 | C (+1) 305.322.5824</t>
  </si>
  <si>
    <t>Francisco Campos</t>
  </si>
  <si>
    <t>Francisco.Campos@aig.com</t>
  </si>
  <si>
    <t>Teresa Villegas</t>
  </si>
  <si>
    <t>mariateresa.villegasramos@aig.com</t>
  </si>
  <si>
    <t> (55) 49558871</t>
  </si>
  <si>
    <t>Torre Z - Av. Chucri Zaidan, 296, 17º andar</t>
  </si>
  <si>
    <t>55 (11) 3809-9693 - 55 11 99827-3455</t>
  </si>
  <si>
    <t>33.040.981/0001- 50</t>
  </si>
  <si>
    <t>@aig.com</t>
  </si>
  <si>
    <t>Dice que ha estado ocupado por actividades, que lo llena el martes 16 dic</t>
  </si>
  <si>
    <t>+5511917266734</t>
  </si>
  <si>
    <t>Ajusco</t>
  </si>
  <si>
    <t>Ecuador</t>
  </si>
  <si>
    <t xml:space="preserve">Juan Carlos </t>
  </si>
  <si>
    <t>Juan Carlos Jaramillo</t>
  </si>
  <si>
    <t>jcjaramillo@ajuscoecuador.com</t>
  </si>
  <si>
    <t>+593 98 939 2148</t>
  </si>
  <si>
    <t>Yuri Mallorga</t>
  </si>
  <si>
    <t>ymayorga@ajuscoecuador.com</t>
  </si>
  <si>
    <t>Chile 329 y Aguirre. Edificio Bond`s Piso 5.</t>
  </si>
  <si>
    <t>+593 98 384 7139/989392148</t>
  </si>
  <si>
    <t>www.grupoajusco.com</t>
  </si>
  <si>
    <t>AJUSTADORA DE SINIESTROS DEL ECUADOR AJUDEC S.A.</t>
  </si>
  <si>
    <t>Timbra sin rta se remite WH</t>
  </si>
  <si>
    <t>Marisol Alexandra Jaime Simbaña</t>
  </si>
  <si>
    <t>marisol.jaime@ajudec.com</t>
  </si>
  <si>
    <t>MARCO PATRICIO QUIMUÑA SIMBAÑA</t>
  </si>
  <si>
    <t>patricio.quimuna@ajudec.com</t>
  </si>
  <si>
    <t>+593999850838</t>
  </si>
  <si>
    <t>AV. 6 DE DICIEMBRE Y BELGICA</t>
  </si>
  <si>
    <t xml:space="preserve"> @ajudec.com</t>
  </si>
  <si>
    <t xml:space="preserve">Contesta, que hoy deja actualizado 11 dic </t>
  </si>
  <si>
    <t>Patricio</t>
  </si>
  <si>
    <t>Albatroz MGA</t>
  </si>
  <si>
    <t>Brasil</t>
  </si>
  <si>
    <t>MGA</t>
  </si>
  <si>
    <t>Salvatore L</t>
  </si>
  <si>
    <t>Le interesa 1 grupo en carga, 1 en cascos</t>
  </si>
  <si>
    <t>Salvatore Lombardi</t>
  </si>
  <si>
    <t>salvatore.lombardi@albatrozmga.com</t>
  </si>
  <si>
    <t>barbara.simoes@albatrozmga.com</t>
  </si>
  <si>
    <t>Av. Roque Petroni Júnior, 850 - Jardim das Acacias, São Paulo - SP, 04707-000, Brazil</t>
  </si>
  <si>
    <t>55 (11) 4780-5783</t>
  </si>
  <si>
    <t>@albatrozmga.com</t>
  </si>
  <si>
    <t>Contesta Bárbara el sr. Salvatore no está pide enviar mail barbara.simoes@albatrozmga.com</t>
  </si>
  <si>
    <t>+5511970918845</t>
  </si>
  <si>
    <t>Salvatore</t>
  </si>
  <si>
    <t>Allianz</t>
  </si>
  <si>
    <t>Diego Repetti</t>
  </si>
  <si>
    <t>No va a participar él, pero lo comparte en la empresa para ver quien participa y deciden</t>
  </si>
  <si>
    <t xml:space="preserve">Diego.Reppetti@allianz.com.ar </t>
  </si>
  <si>
    <t>+54 (9) 11 5328 1534</t>
  </si>
  <si>
    <t>Ana Quintela</t>
  </si>
  <si>
    <t>ana.quintela@allianz.com</t>
  </si>
  <si>
    <t>Cr 43a # 1 - 50 Local 364 CC. San Fernando Plaza</t>
  </si>
  <si>
    <t>860026182-5</t>
  </si>
  <si>
    <t>@allianz.com.ar</t>
  </si>
  <si>
    <t xml:space="preserve">Ha estado ocupado, lo diligencian cuando haya lugar </t>
  </si>
  <si>
    <t>+5491153281534</t>
  </si>
  <si>
    <t>Diego Reppetti</t>
  </si>
  <si>
    <t>ALS Admiralty Services SA</t>
  </si>
  <si>
    <t>Argentina</t>
  </si>
  <si>
    <t>Argentina y Uruguay</t>
  </si>
  <si>
    <t>Abogados ajustadores</t>
  </si>
  <si>
    <t>Abogados</t>
  </si>
  <si>
    <t>Ángela Cardona</t>
  </si>
  <si>
    <t>Timbra sin rta
Ángela escribe a Nataly Ortega el 15-12</t>
  </si>
  <si>
    <t>Gustavo Yusti</t>
  </si>
  <si>
    <t>gyusti@admiraltylaw.com.ar</t>
  </si>
  <si>
    <t>JUAN CRISTOFALO</t>
  </si>
  <si>
    <t>FACTURACION@ADMIRALTYLAW.COM.AR</t>
  </si>
  <si>
    <t>EMILIO ANDRES CALLEGARO</t>
  </si>
  <si>
    <t>ECALLEGARO@ADMIRALTYLAW.COM.AR</t>
  </si>
  <si>
    <t>GYUSTI@ADMIRALTYLAW.COM.ARA</t>
  </si>
  <si>
    <t>PARANA 378 PISO 3 CABA</t>
  </si>
  <si>
    <t>1151630880/ 54-11-43314324</t>
  </si>
  <si>
    <t>WWW.ADMIRALTYLAW.COM.AR</t>
  </si>
  <si>
    <t xml:space="preserve">Respondió 11 dic, ok forms </t>
  </si>
  <si>
    <t>Americal Re - Americal Reinsurance Solutions</t>
  </si>
  <si>
    <t>Argentina, Paraguay, Uruguay</t>
  </si>
  <si>
    <t>Broker de Reaseguros</t>
  </si>
  <si>
    <t>Carolina Sorbello</t>
  </si>
  <si>
    <t>Validan y analizan</t>
  </si>
  <si>
    <t>German Rodriguez</t>
  </si>
  <si>
    <t> grodriguez@americalre.com </t>
  </si>
  <si>
    <t>+54 911 3005 8476</t>
  </si>
  <si>
    <t>ONETTO, Patricia</t>
  </si>
  <si>
    <t>ponetto@americalre.com</t>
  </si>
  <si>
    <t>+54 9 11 6024-2579</t>
  </si>
  <si>
    <t>SORBELLO, Carolina</t>
  </si>
  <si>
    <t>csorbello@americalre.com</t>
  </si>
  <si>
    <t>+54 9 11 6378-7079</t>
  </si>
  <si>
    <t>contact@americalre.com</t>
  </si>
  <si>
    <t>Manuela Saenz, 323, Suite 517, Puerto Madero, Buenos Aires, Argentina</t>
  </si>
  <si>
    <t>54 11 5217 9751</t>
  </si>
  <si>
    <t>CUIT 30-71064029-3</t>
  </si>
  <si>
    <t>www.americalre.com</t>
  </si>
  <si>
    <t xml:space="preserve">Respondió 1 dic, ok forms </t>
  </si>
  <si>
    <t>+5491130058476</t>
  </si>
  <si>
    <t>Germán R</t>
  </si>
  <si>
    <t>Andes Tool</t>
  </si>
  <si>
    <t>Chile</t>
  </si>
  <si>
    <t>Latam</t>
  </si>
  <si>
    <t>Tecnología</t>
  </si>
  <si>
    <t>Proveedores</t>
  </si>
  <si>
    <t xml:space="preserve">Diego Maira </t>
  </si>
  <si>
    <t>Tiene dudas, sobre si la empresa de tecnología puede estar en los comités</t>
  </si>
  <si>
    <t>Diego Maira</t>
  </si>
  <si>
    <t>Diego.maira@andestool.com</t>
  </si>
  <si>
    <t>Malaga 85 Depto 208, Las Condes</t>
  </si>
  <si>
    <t>56 9 9432 1714</t>
  </si>
  <si>
    <t>77618327k</t>
  </si>
  <si>
    <t>www.andestool.com</t>
  </si>
  <si>
    <t>+56994321714</t>
  </si>
  <si>
    <t>Diego Maira</t>
  </si>
  <si>
    <t>Aon Benfield</t>
  </si>
  <si>
    <t>Corredores de reaseguro</t>
  </si>
  <si>
    <t>José María</t>
  </si>
  <si>
    <t>Sí le interesa, es miembro del comité de carga, está viaje al regreso lo responde</t>
  </si>
  <si>
    <t>Jose Maria Lopez</t>
  </si>
  <si>
    <t>jose.maria.lopez@aon.com</t>
  </si>
  <si>
    <t>t +34 913405273 | m +34 660923880</t>
  </si>
  <si>
    <t>Calle Velázquez 86d
28006 Madrid
España</t>
  </si>
  <si>
    <t>(571) 3077266</t>
  </si>
  <si>
    <t>A28164408</t>
  </si>
  <si>
    <t>@aon.com</t>
  </si>
  <si>
    <t xml:space="preserve">Responde mail informando que la info se mantiene como está, 12 y 15 dic </t>
  </si>
  <si>
    <t>José Lopez</t>
  </si>
  <si>
    <t>ARM LOGISTICS RISK MANAGEMENT-ARISKM</t>
  </si>
  <si>
    <t xml:space="preserve">Chile , Perú, Colombia, Costa Rica, España, USA, </t>
  </si>
  <si>
    <t>Operadora Camila Rodríguez, dice que el Sr Benjamín está en reunión, toma msn y pide rta al mail</t>
  </si>
  <si>
    <t>Benjamín Beláustegui Valderrama</t>
  </si>
  <si>
    <t>bbelaustegui@ariskm.com</t>
  </si>
  <si>
    <t>Las Pelargonias 843 OF. 703 - Concón - Chile</t>
  </si>
  <si>
    <t>56 32 360 6004</t>
  </si>
  <si>
    <t>76863123-9</t>
  </si>
  <si>
    <t>https://ariskm.com/</t>
  </si>
  <si>
    <t xml:space="preserve">La sra. Francisca no trabaja allí, enviar al mail bbelaustegui@ariskm.com Sr Benjamín lenó el 15 dic </t>
  </si>
  <si>
    <t>ARM Services</t>
  </si>
  <si>
    <t>Argentina, Chile</t>
  </si>
  <si>
    <t xml:space="preserve">Gerenciadora de riesgos </t>
  </si>
  <si>
    <t>Samuel M</t>
  </si>
  <si>
    <t>está de viaje, lo valida y responde el mail</t>
  </si>
  <si>
    <t>Samuel Markov</t>
  </si>
  <si>
    <t>smarkov@arm-services.com</t>
  </si>
  <si>
    <t xml:space="preserve">L. LUGONES 4239 PISO 4 CABA (ARGENTINA) - </t>
  </si>
  <si>
    <t>54 1150323380</t>
  </si>
  <si>
    <t>www.arm-services.com</t>
  </si>
  <si>
    <t xml:space="preserve">Llenó forms 16 dic </t>
  </si>
  <si>
    <t>+5491135607703</t>
  </si>
  <si>
    <t>Samuel</t>
  </si>
  <si>
    <t>Arthur Gallagher</t>
  </si>
  <si>
    <t>COLOMBIA ( Panama, Ecuador sucursales de Colombia) PERU, BRASIL Y CHILE</t>
  </si>
  <si>
    <t>Juan Guillermo</t>
  </si>
  <si>
    <t>Contesta que no tiene el correo</t>
  </si>
  <si>
    <t>Juan Guillermo Hincapié</t>
  </si>
  <si>
    <t>JuanG_Hincapie@ajg.com</t>
  </si>
  <si>
    <t>JULIANA CAMACHO</t>
  </si>
  <si>
    <t>juliana_camacho@ajg.com</t>
  </si>
  <si>
    <t>juang_hincapie@ajg.com</t>
  </si>
  <si>
    <t>Calle Real de Manga No 21-166 |Cartagena,Colombia Av. Cra. 19 # 120-71 Oficina 513 | Bogotá, Colombia</t>
  </si>
  <si>
    <t>3157314552 /(1)6307733800</t>
  </si>
  <si>
    <t>830010385-4</t>
  </si>
  <si>
    <t>https://www.ajg.com/co/</t>
  </si>
  <si>
    <t>+573157314552</t>
  </si>
  <si>
    <t>Juan G</t>
  </si>
  <si>
    <t>Assa Compañía de Seguros Panamá</t>
  </si>
  <si>
    <t>Panamá</t>
  </si>
  <si>
    <t>Timbra sin rta</t>
  </si>
  <si>
    <t>Osiris Barahona</t>
  </si>
  <si>
    <t>obarahona@assanet.com</t>
  </si>
  <si>
    <t>+(507) 301-2481   </t>
  </si>
  <si>
    <t>Forum 1 , edificio F, Santa Ana, San José. Costa Rica</t>
  </si>
  <si>
    <t>3724-103-53659 
43_x000D_</t>
  </si>
  <si>
    <t>@assanet.com</t>
  </si>
  <si>
    <t>App no deja llamar, se remite mail</t>
  </si>
  <si>
    <t>Assekuransa</t>
  </si>
  <si>
    <t>Erica Olbertz</t>
  </si>
  <si>
    <t>Lo están validando en la empresa</t>
  </si>
  <si>
    <t>olbertz@assekuransa.com</t>
  </si>
  <si>
    <t>+54 9 11 4993 8599</t>
  </si>
  <si>
    <t>Julieta Schirakian</t>
  </si>
  <si>
    <t>jschirakian@assekuransa.com</t>
  </si>
  <si>
    <t>+54 9 11 5888 8113</t>
  </si>
  <si>
    <t>info@assekuransa.com</t>
  </si>
  <si>
    <t>Cerrito 1186, (C1010AAX)
Ciudad de Buenos Aires, Argentina.</t>
  </si>
  <si>
    <t>+54 11 5254 5254 / 54 11 5254 5270</t>
  </si>
  <si>
    <t>www.assekuransa.com</t>
  </si>
  <si>
    <t xml:space="preserve">Respondió 26 nov, ok forms </t>
  </si>
  <si>
    <t>AssistCargo</t>
  </si>
  <si>
    <t>Argentina , Chile, Colombia , España, Ecuador , Estados Unidos,, México , Paraguay , Peru, Uruguay</t>
  </si>
  <si>
    <t>Jose Luis Anselmi</t>
  </si>
  <si>
    <t>Comité de Carga</t>
  </si>
  <si>
    <t>Camila</t>
  </si>
  <si>
    <t>José Luis Anselmi</t>
  </si>
  <si>
    <t>jlanselmi@anselmi.com.ar</t>
  </si>
  <si>
    <t>Esteban Cerezo</t>
  </si>
  <si>
    <t>ecerezo@assistcargo.com</t>
  </si>
  <si>
    <t>54 91166129559</t>
  </si>
  <si>
    <t>Carlos Leymarie</t>
  </si>
  <si>
    <t>cleymarie@assistcargo.com </t>
  </si>
  <si>
    <t>54 91161118418</t>
  </si>
  <si>
    <t>jlanselmi@assistcargo.com</t>
  </si>
  <si>
    <t>RECONQUISTA 559. PISO 7
BUENOS AIRES, ARGENTINA</t>
  </si>
  <si>
    <t>+541143176037/ 54 9 11 4417 7202</t>
  </si>
  <si>
    <t>CUIT 30-70766988-4</t>
  </si>
  <si>
    <t>www.assistcargo.com</t>
  </si>
  <si>
    <t>17866421789</t>
  </si>
  <si>
    <t>Jose Luis</t>
  </si>
  <si>
    <t>Atlantic Americas Reinsurance</t>
  </si>
  <si>
    <t>España, Colombia</t>
  </si>
  <si>
    <t>España, Londres, Miami, Panamá, Chile</t>
  </si>
  <si>
    <t>Timbra sin rta se manda WH a Alejandra</t>
  </si>
  <si>
    <t>Alejandra Aponte R</t>
  </si>
  <si>
    <t>alejandra.aponte@atlanticrebrokers.com</t>
  </si>
  <si>
    <t>Jorge Cruz</t>
  </si>
  <si>
    <t>jorge.cruz@atlanticrebrokers.com</t>
  </si>
  <si>
    <t>CALLE 76 # 10-28 Bogotá</t>
  </si>
  <si>
    <t>3166818767 / 34 915 638 632</t>
  </si>
  <si>
    <t>https://atlanticrebrokers.com/</t>
  </si>
  <si>
    <t>Contesta operadora de España, pide enviar a secretaria@atlanticinsbrokers.com para validar actualización (Mónica)</t>
  </si>
  <si>
    <t>+573106993585</t>
  </si>
  <si>
    <t>Alejandro Fuentes</t>
  </si>
  <si>
    <t>AVLA Peru</t>
  </si>
  <si>
    <t>Alvaro Seminario Valdez</t>
  </si>
  <si>
    <t xml:space="preserve">No lo ha contestado porque estaba de vacaciones, revisa y responde </t>
  </si>
  <si>
    <t>aseminario@avla.com</t>
  </si>
  <si>
    <t>+51 9755-44421</t>
  </si>
  <si>
    <t>Nabetse García García</t>
  </si>
  <si>
    <t>ngarcia@avla.com</t>
  </si>
  <si>
    <t>+51 7154408</t>
  </si>
  <si>
    <t xml:space="preserve">Carlos Delgado </t>
  </si>
  <si>
    <t>cdelgado@avla.com</t>
  </si>
  <si>
    <t>+51 9997-16315</t>
  </si>
  <si>
    <t>Calle Las Begonias 415 - 3er Piso San Isidro</t>
  </si>
  <si>
    <t>+51 01 7154400</t>
  </si>
  <si>
    <t>RUC 20600825187</t>
  </si>
  <si>
    <t>www.avla.com</t>
  </si>
  <si>
    <t>Respondió 25 nov, ok forms</t>
  </si>
  <si>
    <t>AXA COLPATRIA SEGUROS S.A. COLOMBIA</t>
  </si>
  <si>
    <t>Colombia</t>
  </si>
  <si>
    <t>Servicios</t>
  </si>
  <si>
    <t>SI</t>
  </si>
  <si>
    <t>Liliana Cifuentes</t>
  </si>
  <si>
    <t>No se postularan</t>
  </si>
  <si>
    <t>Liliana Paola Cifuentes Acuña</t>
  </si>
  <si>
    <t>liliana.cifuentes@axacolpatria.co</t>
  </si>
  <si>
    <t>Yanina Vallejo</t>
  </si>
  <si>
    <t>yanina.vallejo@axacolpatria.co</t>
  </si>
  <si>
    <t>CARRERA 7 #24-89 TORRE COLPATRIA</t>
  </si>
  <si>
    <t xml:space="preserve">3152163611 / (57-1) 3364677 </t>
  </si>
  <si>
    <t>www.axacolpatria.co</t>
  </si>
  <si>
    <t>AXA MEXICO</t>
  </si>
  <si>
    <t>Mexico</t>
  </si>
  <si>
    <t>Buzón de voz, el otro cel es del Sr Rubén que no trabaja allí</t>
  </si>
  <si>
    <t>Ruben Chanona</t>
  </si>
  <si>
    <t>ruben.chanona@axa.com.mx</t>
  </si>
  <si>
    <t xml:space="preserve"> +52 (55) 2269 5584</t>
  </si>
  <si>
    <t>Avenida Félix Cuevas 366 Piso 3 ,Col.TLACOQUEMECATL Del. Benito JuárezC.P. 03200,</t>
  </si>
  <si>
    <t xml:space="preserve"> 52 55 2269 5584</t>
  </si>
  <si>
    <t>@axa.com</t>
  </si>
  <si>
    <t>Fuera de of. se remite mail a Shareny Coria (magalishareny.coria@axa.com.mx) o y a Juan Mani (juangabriel.mani@axa.com.mx)</t>
  </si>
  <si>
    <t>+525554069838</t>
  </si>
  <si>
    <t xml:space="preserve">Rubén informa que trabajó hasta el 30 de nov </t>
  </si>
  <si>
    <t>Az Logica S.A.S.</t>
  </si>
  <si>
    <t>Consultores/riskmanagment</t>
  </si>
  <si>
    <t>Luis Gil</t>
  </si>
  <si>
    <t>Timbra sin rta
Ángela escribe a Luis Gil el 15-12 / Se reenvía a Luisguillermoingeniero@gmail.com</t>
  </si>
  <si>
    <t>Valentina Ladino Morales</t>
  </si>
  <si>
    <t>valentina.ladino@azlogica.com</t>
  </si>
  <si>
    <t>Silvana Orozco</t>
  </si>
  <si>
    <t>silvana.orozco@azlogica.com</t>
  </si>
  <si>
    <t>administrativo@azlogica.com</t>
  </si>
  <si>
    <t>CALLE 79B # 5 -81 PISO 5 SPACES NOGAL</t>
  </si>
  <si>
    <t>900.204.309-1</t>
  </si>
  <si>
    <t xml:space="preserve"> @azlogica.com</t>
  </si>
  <si>
    <t>Mail dos- 1 dic /celular fuera de servicio</t>
  </si>
  <si>
    <t>Baalnak</t>
  </si>
  <si>
    <t>Latinoamérica y El Caribe</t>
  </si>
  <si>
    <t>Lloyd’s Coverholder</t>
  </si>
  <si>
    <t>Corredores de Reaseguro</t>
  </si>
  <si>
    <t>App no deja llamar</t>
  </si>
  <si>
    <t>Xavier Corona</t>
  </si>
  <si>
    <t>xavier.corona@baalnak.com</t>
  </si>
  <si>
    <t>305-215-3941</t>
  </si>
  <si>
    <t>1111 Brickell Avenue 11th Floor Miami Floria</t>
  </si>
  <si>
    <t>(1) 305-215-3941</t>
  </si>
  <si>
    <t>20-0335254</t>
  </si>
  <si>
    <t>www.baalnak.com</t>
  </si>
  <si>
    <t>+13052153941</t>
  </si>
  <si>
    <t>Xavier</t>
  </si>
  <si>
    <t>Banco Davivienda Honduras</t>
  </si>
  <si>
    <t>Honduras</t>
  </si>
  <si>
    <t>Francisco Medina</t>
  </si>
  <si>
    <t>francisco.medina@davivienda.com.hn</t>
  </si>
  <si>
    <t>(504) 2275-1111 Ext: 383127</t>
  </si>
  <si>
    <t>Tommy Alexander</t>
  </si>
  <si>
    <t>tommy.solorzano@davivienda.com.hn</t>
  </si>
  <si>
    <t>504 2268-1919</t>
  </si>
  <si>
    <t xml:space="preserve"> @davivienda.com.hn</t>
  </si>
  <si>
    <t>Mail dos- 1 dic app no deja llamar</t>
  </si>
  <si>
    <t>Barbuss</t>
  </si>
  <si>
    <t>Liquidadores</t>
  </si>
  <si>
    <t>Opc 1 no contesta nadie</t>
  </si>
  <si>
    <t>Maria Monferini</t>
  </si>
  <si>
    <t>maria.monferini@barbuss.com</t>
  </si>
  <si>
    <t>María Oroná - Marketing Manager</t>
  </si>
  <si>
    <t>maria.orona@barbuss.com</t>
  </si>
  <si>
    <t>argentina@barbuss.com</t>
  </si>
  <si>
    <t>Av. del Libertador 14.338
(1640) Martínez, Buenos Aires, Argentina</t>
  </si>
  <si>
    <t xml:space="preserve"> 54 11 5263-5253 </t>
  </si>
  <si>
    <t>@barbuss.com</t>
  </si>
  <si>
    <t>Mail dos- 1 dic/ opc. 1</t>
  </si>
  <si>
    <t>Bas agente de seguros (BAS CARGO INSURANCE)</t>
  </si>
  <si>
    <t>México y USA</t>
  </si>
  <si>
    <t xml:space="preserve">Compañía de seguros </t>
  </si>
  <si>
    <t>Agencia (Intermediarios de seguros)</t>
  </si>
  <si>
    <t>Juan Carlos Benavides Carrillo</t>
  </si>
  <si>
    <t>Dice que no tiene el mail, se actualiza al ceo@ y responde confirmando el recibido</t>
  </si>
  <si>
    <t>Marely Berenguel Rangel</t>
  </si>
  <si>
    <t>marketing@bascargoi.com</t>
  </si>
  <si>
    <t>+52 1 55 6962 18</t>
  </si>
  <si>
    <t>Juan Carlos Benavides</t>
  </si>
  <si>
    <t>ceo@bascargoi.com /jc.benavides@basagentes.mx(no enviar a este) sólo al de CEO</t>
  </si>
  <si>
    <t>NAHANIA ZECIL OLVERA TORRES</t>
  </si>
  <si>
    <t>marketing@basagentes.mx</t>
  </si>
  <si>
    <t>Real de Acueducto 300, Puerta de Hierro, 45116 Zapopan, Jal. int.24</t>
  </si>
  <si>
    <t>8111630120 /52 (33) 15 88 30 73</t>
  </si>
  <si>
    <t>BCA221118243</t>
  </si>
  <si>
    <t>bascargoi.com</t>
  </si>
  <si>
    <t>+523332006678</t>
  </si>
  <si>
    <t>Juan Carlos</t>
  </si>
  <si>
    <t>BCI Seguros</t>
  </si>
  <si>
    <t>Paulina Pinto Bravo</t>
  </si>
  <si>
    <t>paulina.pinto@bciseguros.com </t>
  </si>
  <si>
    <t>AV MANQUEHUE NORTE 290 OF 101PISO 1 Las Condes</t>
  </si>
  <si>
    <t>600 692 8000/</t>
  </si>
  <si>
    <t>@bciseguros.com </t>
  </si>
  <si>
    <t xml:space="preserve">Mail rebotó 25 nov se debe llamar a +56 226928555 opc 3 (seguros), timbra sin rta mail rebota </t>
  </si>
  <si>
    <t>Bolea Saez Servicios S.L.</t>
  </si>
  <si>
    <t>España</t>
  </si>
  <si>
    <t xml:space="preserve">España y Panamá </t>
  </si>
  <si>
    <t>Broker de seguros y reaseguros</t>
  </si>
  <si>
    <t xml:space="preserve">Marcela Elizabeth </t>
  </si>
  <si>
    <t>confirma por WH</t>
  </si>
  <si>
    <t>Marcela Elizabeth</t>
  </si>
  <si>
    <t>marcela@boleasaez.com</t>
  </si>
  <si>
    <t xml:space="preserve"> Carolina Zamora</t>
  </si>
  <si>
    <t>carolina@boleasaez.com</t>
  </si>
  <si>
    <t>Joseangel@boleasaez.com</t>
  </si>
  <si>
    <t>Plaza Alcolea, 18 2º A 30201 Cartagena</t>
  </si>
  <si>
    <t>)34 9683 320 607</t>
  </si>
  <si>
    <t>B30777999</t>
  </si>
  <si>
    <t>Boleasaez.es</t>
  </si>
  <si>
    <t>Respondió 8 dic, ok forms</t>
  </si>
  <si>
    <t>+50765680781</t>
  </si>
  <si>
    <t>Marcela</t>
  </si>
  <si>
    <t xml:space="preserve">BSE </t>
  </si>
  <si>
    <t>Uruguay</t>
  </si>
  <si>
    <t>Emilio Rodríguez</t>
  </si>
  <si>
    <t xml:space="preserve">Lo valida y responde </t>
  </si>
  <si>
    <t>Emilio Rodriguez</t>
  </si>
  <si>
    <t>lerodriguez@bse.com.uy</t>
  </si>
  <si>
    <t>Analia Grecco Higgie</t>
  </si>
  <si>
    <t>AGrecco@bse.com.uy</t>
  </si>
  <si>
    <t>Mercedes 1051, Montevideo</t>
  </si>
  <si>
    <t>@bse.com.uy.</t>
  </si>
  <si>
    <t>Emilio</t>
  </si>
  <si>
    <t>CargoCorp</t>
  </si>
  <si>
    <t>Ana Maria Diaz</t>
  </si>
  <si>
    <t>está en validación</t>
  </si>
  <si>
    <t xml:space="preserve">Timbra sin rta se manda Wh Juan Carlos dice que no la tiene presente y va a buscar </t>
  </si>
  <si>
    <t>Juan Carlos Martínez</t>
  </si>
  <si>
    <t>jcm@cargocorpuw.com</t>
  </si>
  <si>
    <t>701 Brickell Avenue, Suite 1550, Miami FL 33131</t>
  </si>
  <si>
    <t>(305) 433 6492</t>
  </si>
  <si>
    <t>20110449721_x000D_</t>
  </si>
  <si>
    <t>@cargocorpuw.com</t>
  </si>
  <si>
    <t>+17869090465</t>
  </si>
  <si>
    <t>Carpenter Marsh</t>
  </si>
  <si>
    <t>Carlos Villafania</t>
  </si>
  <si>
    <t>Buzón de voz, se comparte al mail de Carlos Villafaina para que la empresa se postule</t>
  </si>
  <si>
    <t>Edward Benavides</t>
  </si>
  <si>
    <t>edward.benavides@carpentermarsh.com</t>
  </si>
  <si>
    <t>Dirección: Av Costanera Sur 2730, Piso
13. Las Condes, Santiago de Chile</t>
  </si>
  <si>
    <t>52 55 4884 1038</t>
  </si>
  <si>
    <t>@carpentermarsh.com</t>
  </si>
  <si>
    <t>Buzón de voz se remite mail</t>
  </si>
  <si>
    <t>Cave Liquidadores</t>
  </si>
  <si>
    <t>Andrew J. Cave - 
Gerente General</t>
  </si>
  <si>
    <t>Observatorio Juridico</t>
  </si>
  <si>
    <t>Andrew Cave</t>
  </si>
  <si>
    <t>andrew.cave@caveliquidadores.cl</t>
  </si>
  <si>
    <t>Paola Ferreira</t>
  </si>
  <si>
    <t>paola.ferreira@caveliquidadores.cl</t>
  </si>
  <si>
    <t>general@caveliquidadores.cl</t>
  </si>
  <si>
    <t>Almirante Señoret 70, Valparaíso</t>
  </si>
  <si>
    <t>+56322131000/569 824 97 231</t>
  </si>
  <si>
    <t>77911680-8</t>
  </si>
  <si>
    <t>www.caveliquidadores.cl</t>
  </si>
  <si>
    <t>+56982497231</t>
  </si>
  <si>
    <t>Andrew</t>
  </si>
  <si>
    <t>CERTIFICACION PROFESIONAL INTERNACIONAL</t>
  </si>
  <si>
    <t>Ajustadores / Liquidadores</t>
  </si>
  <si>
    <t>Pablo Ruiz</t>
  </si>
  <si>
    <t>PABLO MARCELINO RUIZ LARA</t>
  </si>
  <si>
    <t>pabloruizl@cerproin.com.mx</t>
  </si>
  <si>
    <t>(52) 55 5402 3518</t>
  </si>
  <si>
    <t>Marco Ruiz Meraz</t>
  </si>
  <si>
    <t>marcoruiz@cerproin.com</t>
  </si>
  <si>
    <t>(52) 55 5407 2563</t>
  </si>
  <si>
    <t>pabloruizL@cerproin.com.mx</t>
  </si>
  <si>
    <t>CIRCUITO VIVEROS SUR No. 70, COLONIA ADOLFO LOPEZ MATEOS, C.P. 54070, ESTADO DE MEXICO</t>
  </si>
  <si>
    <t>(52) 5554023518</t>
  </si>
  <si>
    <t>CPI9502103F8</t>
  </si>
  <si>
    <t>www.cerproin.com.mx</t>
  </si>
  <si>
    <t>+525554023518</t>
  </si>
  <si>
    <t>Pablo</t>
  </si>
  <si>
    <t>Charterama BV</t>
  </si>
  <si>
    <t>Paises Bajos</t>
  </si>
  <si>
    <t>República Dominicana, China y Francia</t>
  </si>
  <si>
    <t>MGA - Charterers Liability Insurance</t>
  </si>
  <si>
    <t>MGA / Agencia de Suscripción</t>
  </si>
  <si>
    <t>Dantonia Fermín</t>
  </si>
  <si>
    <t>Ella no está en la oficina, se debe llamar al cel y enviar correo. Celulares timbran sin rta, se remite WHy responde que está en vacaciones al regreso valida y responde</t>
  </si>
  <si>
    <t>Dantonia Fermin</t>
  </si>
  <si>
    <t>dantonia.fermin@charterama.com</t>
  </si>
  <si>
    <t>Natascha Breda</t>
  </si>
  <si>
    <t>natascha.breda@charterama.com</t>
  </si>
  <si>
    <t>+31 6 82491239</t>
  </si>
  <si>
    <t>charterama@charterama.com</t>
  </si>
  <si>
    <t>Veerkade 2 3016 DE, Róterdam
Países Bajos</t>
  </si>
  <si>
    <t>+31 10 741 0 741</t>
  </si>
  <si>
    <t>NL 8197.39.145.B01</t>
  </si>
  <si>
    <t>www.charterama.com</t>
  </si>
  <si>
    <t>Respondió 2 dic, ok forms</t>
  </si>
  <si>
    <t>+18494722006</t>
  </si>
  <si>
    <t>Dantonia</t>
  </si>
  <si>
    <t>Chubb</t>
  </si>
  <si>
    <t>Cristina Contretras</t>
  </si>
  <si>
    <t>Diego Gomes</t>
  </si>
  <si>
    <t>Diego.Gomes@Chubb.com</t>
  </si>
  <si>
    <t>+55 11 97269-8809</t>
  </si>
  <si>
    <t>Cristina Contreras</t>
  </si>
  <si>
    <t xml:space="preserve">Cristina.Contreras@chubb.com </t>
  </si>
  <si>
    <t xml:space="preserve"> +(56) 22 3987008  M +(569) 87297693</t>
  </si>
  <si>
    <t>Carrera 7 No. 71-21 Torre B Piso 7 Bogotá</t>
  </si>
  <si>
    <t>(57 601) 319 0300</t>
  </si>
  <si>
    <t>860026518-6</t>
  </si>
  <si>
    <t>@chubb.com</t>
  </si>
  <si>
    <t>Opc 0, piden enviar mail ya que la comunicación es sólo por email</t>
  </si>
  <si>
    <t>+5511972698809</t>
  </si>
  <si>
    <t>Diego</t>
  </si>
  <si>
    <t xml:space="preserve">Cogent Andina </t>
  </si>
  <si>
    <t>´Juan Carlos Prieto</t>
  </si>
  <si>
    <t>Siniestros</t>
  </si>
  <si>
    <t>Timbra sin rta
Ángela Escribe a Juan Carlos Prieto el 15-12</t>
  </si>
  <si>
    <t xml:space="preserve">Juan Carlos Prieto </t>
  </si>
  <si>
    <t>jcprieto@cogentinternational.co</t>
  </si>
  <si>
    <t>Carlos Castañeda</t>
  </si>
  <si>
    <t>crcastaneda@cogentinternational.co</t>
  </si>
  <si>
    <t>Consuelo Agredo</t>
  </si>
  <si>
    <t>mcagredo@cogentinternational.co</t>
  </si>
  <si>
    <t>Carrera 11 # 73 - 44 Oficina 201</t>
  </si>
  <si>
    <t>57 6017128307</t>
  </si>
  <si>
    <t>@cogentinternational.co</t>
  </si>
  <si>
    <t xml:space="preserve">Contesta Carlos Castañeda pide enviar mail a él y que diligencia los datos dice que esta semana los actualiza 17 dic </t>
  </si>
  <si>
    <t>COMISMAR</t>
  </si>
  <si>
    <t>Felipe Díaz</t>
  </si>
  <si>
    <t>Buzón de msn, se remite WH. El tel de la of timbra sin rta, responde WH diciendo que respondió el 15 al mail</t>
  </si>
  <si>
    <t>Felipe Díaz Pintos</t>
  </si>
  <si>
    <t>fdiaz@comismar.es</t>
  </si>
  <si>
    <t>Pintor Juan Gris, 4. 28020 MADRID</t>
  </si>
  <si>
    <t>A28001501</t>
  </si>
  <si>
    <t>@comismar.es</t>
  </si>
  <si>
    <t xml:space="preserve">Timbra sin rta se remite WH </t>
  </si>
  <si>
    <t>+34690060536</t>
  </si>
  <si>
    <t>Felipe</t>
  </si>
  <si>
    <t>Cordova &amp; Asociados</t>
  </si>
  <si>
    <t>Omar Cordova</t>
  </si>
  <si>
    <t>Observatorio Jurídico y me postulo como Director</t>
  </si>
  <si>
    <t>Omar Martin Cordova Cordovi</t>
  </si>
  <si>
    <t>omar.cordova.cordovi@icloud.com</t>
  </si>
  <si>
    <t>+51 904288282</t>
  </si>
  <si>
    <t>Casimiro Ulloa 353 - Departamento 501 Miraflores. Lima-Perú</t>
  </si>
  <si>
    <t>51 904288282.</t>
  </si>
  <si>
    <t>NA</t>
  </si>
  <si>
    <t>Corramer</t>
  </si>
  <si>
    <t>Brokers de reaseguros</t>
  </si>
  <si>
    <t>Corredores de directo</t>
  </si>
  <si>
    <t>Maria Espinoza</t>
  </si>
  <si>
    <t xml:space="preserve">Revisa y responde -ellos no participan habitualmente lo conversa con el director </t>
  </si>
  <si>
    <t>aespinoza@corramer.com</t>
  </si>
  <si>
    <t>MARIANA ALEXANDRA  MACIAS VERA</t>
  </si>
  <si>
    <t>mmacias@corramer.com</t>
  </si>
  <si>
    <t>info@corramer.com</t>
  </si>
  <si>
    <t>Av. Justino Cornejo y Luis Orrantia Kennedy Norte  Mz. 110 S 1 Edificio Torre Atlas Piso 5 oficina 2. Guayaquil, Ecuador</t>
  </si>
  <si>
    <t>593 4 2118321</t>
  </si>
  <si>
    <t>0991280014001</t>
  </si>
  <si>
    <t>WWW.CORRAMER.COM</t>
  </si>
  <si>
    <t xml:space="preserve">17 dic ok forms </t>
  </si>
  <si>
    <t>Crawford Liquidadores</t>
  </si>
  <si>
    <t xml:space="preserve">Arnaldo Rotella </t>
  </si>
  <si>
    <t>Valida y decide, quiere saber sí a Fernando Arroyo le enviaron la postulación y la rta de él. (ref. Siniestros)</t>
  </si>
  <si>
    <t>Arnaldo Rotella</t>
  </si>
  <si>
    <t>Arotella@crawford.cl</t>
  </si>
  <si>
    <t xml:space="preserve">COYANCURA 2241 PISO 4 PROVIDENCIA, SANTIAGO CHILE </t>
  </si>
  <si>
    <t>56- 2- 26769500</t>
  </si>
  <si>
    <t>77.250.330-K</t>
  </si>
  <si>
    <t>@crawford.cl</t>
  </si>
  <si>
    <t>+56993207536</t>
  </si>
  <si>
    <t>Arnaldo</t>
  </si>
  <si>
    <t>Crest</t>
  </si>
  <si>
    <t>Fijo sin rta, cel en buzón de voz
Ángela escribe a Juan Pablo corona el 15-12</t>
  </si>
  <si>
    <t>VERÓNICA ROMO ZÚÑIGA</t>
  </si>
  <si>
    <t>veronica.romo@crestrb.com</t>
  </si>
  <si>
    <t>INSURGENTES SUR 1605 PISO 25 MÓDULO 3A, SAN JOSÉ INSURGENTES, BENITO JUÁREZ, CIUDAD DE MÉXICO</t>
  </si>
  <si>
    <t xml:space="preserve"> @crestrb.com</t>
  </si>
  <si>
    <t>+525576574168</t>
  </si>
  <si>
    <t>Verónica</t>
  </si>
  <si>
    <t>CRM RISK CORPORATION</t>
  </si>
  <si>
    <t>Otros</t>
  </si>
  <si>
    <t>Timbra sin rta se manda WH</t>
  </si>
  <si>
    <t>MAURICIO MARTINEZ PINTO</t>
  </si>
  <si>
    <t>MMP@CARGORISK.COM</t>
  </si>
  <si>
    <t>JAIME BALMES 11 PISO 1, POLANCO, MH, CDMX MEXICO CP 11550</t>
  </si>
  <si>
    <t>52 5543694388</t>
  </si>
  <si>
    <t>CRC 140318MN4</t>
  </si>
  <si>
    <t xml:space="preserve"> @CARGORISK.COM</t>
  </si>
  <si>
    <t>+525543694381</t>
  </si>
  <si>
    <t>Mauricio</t>
  </si>
  <si>
    <t>CVA Carvajal Valek Abogados</t>
  </si>
  <si>
    <t>Firma de abogados</t>
  </si>
  <si>
    <t>Mauricio Carvajal G.</t>
  </si>
  <si>
    <t>mcg@carvajalvalekabogados.com</t>
  </si>
  <si>
    <t>Av Cra 9 No 100 - 07 of 504</t>
  </si>
  <si>
    <t>900,801,492-2</t>
  </si>
  <si>
    <t xml:space="preserve"> @carvajalvalekabogados.com</t>
  </si>
  <si>
    <t>571 3133773168</t>
  </si>
  <si>
    <t xml:space="preserve">DAC BEACHCROFT </t>
  </si>
  <si>
    <t>Oscar Leopoldo</t>
  </si>
  <si>
    <t>Está ocupado con cierre del año, revisa y se postula</t>
  </si>
  <si>
    <t xml:space="preserve">Oscar Leopoldo </t>
  </si>
  <si>
    <t>obarton@dacbeachcroft.com</t>
  </si>
  <si>
    <t>Manuel Francisco</t>
  </si>
  <si>
    <t>mquiroga@dacbeachcroft.com</t>
  </si>
  <si>
    <t>Av. Alfredo Benavides 1579, Oficina 305, Miraflores 15048, Lima, Perú</t>
  </si>
  <si>
    <t>51 999901172</t>
  </si>
  <si>
    <t xml:space="preserve"> @dacbeachcroft.com</t>
  </si>
  <si>
    <t>+51999901172</t>
  </si>
  <si>
    <t>Óscar</t>
  </si>
  <si>
    <t>DYNAMIC REINSURANCE LLC</t>
  </si>
  <si>
    <t>Corredores de seguro</t>
  </si>
  <si>
    <t>No hay teléfono de contacto</t>
  </si>
  <si>
    <t>Rigoberto Cortes Aguilar</t>
  </si>
  <si>
    <t>rigoberto@thebcap.com</t>
  </si>
  <si>
    <t>comercial@dynamicreinsurance.com</t>
  </si>
  <si>
    <t>1395 BRICKELL AVENUE, SUITE 800 MIAMI, FL 33131</t>
  </si>
  <si>
    <t>87-1378924</t>
  </si>
  <si>
    <t xml:space="preserve"> @thebcap.com</t>
  </si>
  <si>
    <t>Mail de Rigoberto rebotó 25 nov se remite info al mail de comercial</t>
  </si>
  <si>
    <t>Ecuasuiza (fusión son Seguros Equinoccial, a partir del 1 de Noviembre: EQUISUIZA)</t>
  </si>
  <si>
    <t>Carlos javier Zambrano Espinosa</t>
  </si>
  <si>
    <t>carlos.zambrano@ecuasuiza.ec</t>
  </si>
  <si>
    <t>AV. 9 DE OCTUBRE 2101 Y TULCAN (GUAYAQUIL-ECUADOR)</t>
  </si>
  <si>
    <t>(593) 4-3731515</t>
  </si>
  <si>
    <t>@ecuasuiza.ec</t>
  </si>
  <si>
    <t>Mail rebotó buzón lleno, se intenta de nuevo 25 nov , se remite mail a carlos.zambrano@equisuiza.com por cambio de dominio en la web</t>
  </si>
  <si>
    <t>info@equisuiza.com</t>
  </si>
  <si>
    <t>Equos Corredores de Seguros SpA</t>
  </si>
  <si>
    <t>Corredor de Seguros</t>
  </si>
  <si>
    <t>Manuel José Costabal Donoso</t>
  </si>
  <si>
    <t>mcostabal@equos.cl</t>
  </si>
  <si>
    <t>info@equos.cl</t>
  </si>
  <si>
    <t>Los Militares 5620, of. 1011, Las Condes, Santiago, Chile</t>
  </si>
  <si>
    <t>56 22 896 3435</t>
  </si>
  <si>
    <t>77091431-0</t>
  </si>
  <si>
    <t xml:space="preserve"> @equos.cl</t>
  </si>
  <si>
    <t>En control de pagos no hay info de la membresía</t>
  </si>
  <si>
    <t>ERP - Ertem, Rivero &amp; Partners (Antes E&amp;P- EVDEMON &amp; PARTNERS PANAMÁ)</t>
  </si>
  <si>
    <t>Panama</t>
  </si>
  <si>
    <t>Agustin Rau</t>
  </si>
  <si>
    <t>admin_latam@ertemrivero.com</t>
  </si>
  <si>
    <t>Administracion</t>
  </si>
  <si>
    <t>adminamericas@ertemrivero.com</t>
  </si>
  <si>
    <t>Office 3, PH PLAZA LA BOCA, Trinidad y Tobago N/A. ciudad de Panama
TOWER, 23C
Pana´má</t>
  </si>
  <si>
    <t>5411 47932985</t>
  </si>
  <si>
    <t>RUC 155759365-2-2024 DV 0</t>
  </si>
  <si>
    <t>.@ertemrivero.com</t>
  </si>
  <si>
    <t xml:space="preserve">Mail dos - 2 dic </t>
  </si>
  <si>
    <t>+541165909229</t>
  </si>
  <si>
    <t>Martín Rivero</t>
  </si>
  <si>
    <t>Estudio Vivanco</t>
  </si>
  <si>
    <t>Esteban Vivanco</t>
  </si>
  <si>
    <t>esteban@estudiovivanco.com</t>
  </si>
  <si>
    <t>Av. Gral. Las Heras 1681 2D (C1018AAN) CABA, Argentina</t>
  </si>
  <si>
    <t>1 (786) 740 - 2179</t>
  </si>
  <si>
    <t>@estudiovivanco.com</t>
  </si>
  <si>
    <t>App no deja llamar, fijo ARG se remite mail</t>
  </si>
  <si>
    <t>+541169642091</t>
  </si>
  <si>
    <t>Esteban</t>
  </si>
  <si>
    <t>Everestglobal</t>
  </si>
  <si>
    <t>Reaseguradora</t>
  </si>
  <si>
    <t>Carlos Mena</t>
  </si>
  <si>
    <t>carlos.mena@everestglobal.com</t>
  </si>
  <si>
    <t>Isidora Goyenechea 2800, Piso 31, Torre Titanio | Las Condes | Santiago, Chile</t>
  </si>
  <si>
    <t>56 9 8774 1133</t>
  </si>
  <si>
    <t>@everestglobal.com</t>
  </si>
  <si>
    <t>Ok</t>
  </si>
  <si>
    <t xml:space="preserve">Confirma que vió el mail pero por fin de año lo llenará hoy </t>
  </si>
  <si>
    <t>+56944328520</t>
  </si>
  <si>
    <t>Carlos</t>
  </si>
  <si>
    <t>FairFax</t>
  </si>
  <si>
    <t>Operadora sólo habla portugués, llamar de nuevo 16 dic  enviar mail a JOAO</t>
  </si>
  <si>
    <t>JOÃO PEDRO OSORIO NUNES</t>
  </si>
  <si>
    <t>joaopedro.nunes@fairfax.com.br</t>
  </si>
  <si>
    <t>Marcos Salvador</t>
  </si>
  <si>
    <t>marcos.salvador@fairfax.com.br</t>
  </si>
  <si>
    <t>ALAMEDA SANTOS, 1940 4º ANDAR CERQUEIRA CESAR CEP 01418-200</t>
  </si>
  <si>
    <t>55 11 994219694</t>
  </si>
  <si>
    <t>10.793.428/0001-92</t>
  </si>
  <si>
    <t>@fairfax.com.br</t>
  </si>
  <si>
    <t>Forte UW</t>
  </si>
  <si>
    <t>Ricardo Miqueo</t>
  </si>
  <si>
    <t>Asumió que no había que postularse, revisa el mail y confirma.</t>
  </si>
  <si>
    <t xml:space="preserve">Ricardo Miqueo </t>
  </si>
  <si>
    <t>rmiqueo@forteuw.com</t>
  </si>
  <si>
    <t>2655 South Le Jeune Road | Suite 1112
Coral Gables, Florida 33134 | USA</t>
  </si>
  <si>
    <t>1 305 529 8512</t>
  </si>
  <si>
    <t>@forteuw.com</t>
  </si>
  <si>
    <t>Opc. 0 no hay respuesta se remite mail. No ha actualizado datos lo hace esta semana.</t>
  </si>
  <si>
    <t>+525526994982</t>
  </si>
  <si>
    <t>Ricardo</t>
  </si>
  <si>
    <t>Franco &amp; Asociados</t>
  </si>
  <si>
    <t>Javier Franco</t>
  </si>
  <si>
    <t>Confirma el recibido por WH Javier</t>
  </si>
  <si>
    <t>Javier Franco</t>
  </si>
  <si>
    <t>jfranco@francoabogados.com.co</t>
  </si>
  <si>
    <t>Nicolle Peña</t>
  </si>
  <si>
    <t>secretaria@francoabogados.com.co</t>
  </si>
  <si>
    <t>CALLE 75 NO. 13 - 51 OF. 408
Ed. Corinto | Bogotá - Colombia</t>
  </si>
  <si>
    <t>(+571) 7035633</t>
  </si>
  <si>
    <t>900707744-1</t>
  </si>
  <si>
    <t>https://francoabogados.com.co/</t>
  </si>
  <si>
    <t>+573158833796</t>
  </si>
  <si>
    <t>Javier</t>
  </si>
  <si>
    <t>Galicia Seguros</t>
  </si>
  <si>
    <t>Ariel Beneventane</t>
  </si>
  <si>
    <t xml:space="preserve">Validan y deciden con Juan José </t>
  </si>
  <si>
    <t>Juan Jose Verdaguer</t>
  </si>
  <si>
    <t>jverdaguer@galiciaseguros.com.ar</t>
  </si>
  <si>
    <t>54 911 50964054</t>
  </si>
  <si>
    <t>abeneventane@galiciaseguros.com.ar</t>
  </si>
  <si>
    <t>54 911 39320764</t>
  </si>
  <si>
    <t>Tte. Gral. Juan Domingo Perón
430, C1038AAJ – Buenos Aires –
Argentina</t>
  </si>
  <si>
    <t>54 911 50964054 / 54 800-555-9998</t>
  </si>
  <si>
    <t>30-50000012-7</t>
  </si>
  <si>
    <t>www.galiciaseguros.com.ar</t>
  </si>
  <si>
    <t xml:space="preserve">Respondió 27 nov, ok forms </t>
  </si>
  <si>
    <t>Garciarboleda</t>
  </si>
  <si>
    <t>Firma Abogados</t>
  </si>
  <si>
    <t>Jhon Alexander Guevara</t>
  </si>
  <si>
    <t>está en análisis con Mauricio</t>
  </si>
  <si>
    <t xml:space="preserve">Mauricio Garcia Arboleda </t>
  </si>
  <si>
    <t>mgarcia@garciarboleda.co</t>
  </si>
  <si>
    <t>John Alexander Guevara</t>
  </si>
  <si>
    <t>aguevara@garciarboleda.co</t>
  </si>
  <si>
    <t>Mariana Tangarife Vélez</t>
  </si>
  <si>
    <t xml:space="preserve"> mtangarife@garciarboleda.co</t>
  </si>
  <si>
    <t>facturacion@garciarboleda.co</t>
  </si>
  <si>
    <t>carrera 12 No. 96 – 81 Of. 403
Bogotá D. C. Colombia</t>
  </si>
  <si>
    <t>900709454-1</t>
  </si>
  <si>
    <t>www.garciarboleda.co</t>
  </si>
  <si>
    <t>Gibbs y Cia S.A.C</t>
  </si>
  <si>
    <t>Felipe Ignacio Collarte Galleguillos</t>
  </si>
  <si>
    <t>felipe.collarte@gibbs.cl</t>
  </si>
  <si>
    <t>Diego José Risopatrón Lemaitre</t>
  </si>
  <si>
    <t>drisopatron@gibbs.cl</t>
  </si>
  <si>
    <t>Fidel Oteíza 1921, oficina 806, Providencia</t>
  </si>
  <si>
    <t>+56 22 484 1515</t>
  </si>
  <si>
    <t xml:space="preserve"> @gibbs.cl</t>
  </si>
  <si>
    <t>Mail dos - 2 dic , timbra sin respuesta se remite mail, fijo piden llamar al cel</t>
  </si>
  <si>
    <t>GLOBAL INTERMEDIARIO DE SEGUROS (SISU)</t>
  </si>
  <si>
    <t>1 celular va a buzón, el otro timbra sin rta</t>
  </si>
  <si>
    <t>Omar Cruz</t>
  </si>
  <si>
    <t>omarcruz@sisugrb.com</t>
  </si>
  <si>
    <t>recepcion@sisugrb.com</t>
  </si>
  <si>
    <t>Dirección: Av. Barranca del Muerto 415,
Colonia Merced Gomez. Ciudad
de México</t>
  </si>
  <si>
    <t>52 5662722728</t>
  </si>
  <si>
    <t>@sisugrb.com</t>
  </si>
  <si>
    <t>Mail dos - 2 dic /buzón de voz se remite WH</t>
  </si>
  <si>
    <t>+525554060347</t>
  </si>
  <si>
    <t>Omar</t>
  </si>
  <si>
    <t>GMX</t>
  </si>
  <si>
    <t>Sonia Gonzalez</t>
  </si>
  <si>
    <t>sonia.gonzalez@GMX.COM.MX</t>
  </si>
  <si>
    <t>Diana Laura Gonzalez Flores</t>
  </si>
  <si>
    <t>diana.gonzalez@gmx.com.mx</t>
  </si>
  <si>
    <t>Tecoyotitla 412, Edificio GMX, Col. Ex Hacienda de Guadalupe Chimalistac, Álvaro Obregón, Ciudad de México, México, C.P. 01050</t>
  </si>
  <si>
    <t xml:space="preserve"> (55) 5480.4000</t>
  </si>
  <si>
    <t>RFC GMS971110BTA</t>
  </si>
  <si>
    <t>@GMX.COM.MX</t>
  </si>
  <si>
    <t>opc. 0, actualizó datos durante la llamada</t>
  </si>
  <si>
    <t>GNP</t>
  </si>
  <si>
    <t>Adriana Chanona</t>
  </si>
  <si>
    <t>Revisará la convocatoria en detalle</t>
  </si>
  <si>
    <t>Responde por WhatsApp</t>
  </si>
  <si>
    <t xml:space="preserve">María Adriana Chanona Rojas </t>
  </si>
  <si>
    <t>maria.chanona@gnp.com.mx</t>
  </si>
  <si>
    <t>Blvd. Benito Juárez No. 1295, Col. Jardines del Valle, C.P. 21270, Mexicali, Baja California.</t>
  </si>
  <si>
    <t>55 5227 9000</t>
  </si>
  <si>
    <t>GNP9211244P0</t>
  </si>
  <si>
    <t>@gnp.com.mx</t>
  </si>
  <si>
    <t>Opc. 9, no hay respuesta se remite mail</t>
  </si>
  <si>
    <t>GRILLO CORREA CONSULTORIAS</t>
  </si>
  <si>
    <t>si</t>
  </si>
  <si>
    <t>Adriana Grillo</t>
  </si>
  <si>
    <t>Responde el Wh que sí</t>
  </si>
  <si>
    <t>agrillo@adrianagrillo.com</t>
  </si>
  <si>
    <t>Keila Rossi</t>
  </si>
  <si>
    <t>Mercadeo@adrianagrillo.com</t>
  </si>
  <si>
    <t>Paola Parra</t>
  </si>
  <si>
    <t>Dirección.administrativa@adrianagrillo.com</t>
  </si>
  <si>
    <t>Mercadeo@gmail.com</t>
  </si>
  <si>
    <t>Calle 127 A No. 7 – 19
Oficina 212 B, Bogotá Colombia</t>
  </si>
  <si>
    <t>(601) 2889853</t>
  </si>
  <si>
    <t>900.754.372-5</t>
  </si>
  <si>
    <t>www.adrianagrillo.com</t>
  </si>
  <si>
    <t>+573123773932</t>
  </si>
  <si>
    <t>Adriana</t>
  </si>
  <si>
    <t>Grupo OET</t>
  </si>
  <si>
    <t>Cel timbra sin rta</t>
  </si>
  <si>
    <t>Reinaldo Andrés  Rodríguez Guerrero</t>
  </si>
  <si>
    <t>andres.rodriguez@eltransporte.org</t>
  </si>
  <si>
    <t>andres.rodriguez@grupooet.com</t>
  </si>
  <si>
    <t>Cra 13 # 76-12 Bogotá</t>
  </si>
  <si>
    <t>(57) 3172758983</t>
  </si>
  <si>
    <t>830076669-4</t>
  </si>
  <si>
    <t>@grupooet.com</t>
  </si>
  <si>
    <t>Timbra sin rta se remite WH  responde que va a diligenciar la actualización de datos</t>
  </si>
  <si>
    <t>+573108601961</t>
  </si>
  <si>
    <t>Andrés</t>
  </si>
  <si>
    <t>Grupo Nuño</t>
  </si>
  <si>
    <t>Mexico, EU Y PANAMA</t>
  </si>
  <si>
    <t>Cel timbra sin rta/ el # 52 3319765594 no es de esa empresa</t>
  </si>
  <si>
    <t>Jose Sanchez</t>
  </si>
  <si>
    <t>jsanchez@gruponuno.com</t>
  </si>
  <si>
    <t>52 3338497819</t>
  </si>
  <si>
    <t>Lupita Hernandez</t>
  </si>
  <si>
    <t>Contador@gruponuno.com</t>
  </si>
  <si>
    <t>52 3319765594</t>
  </si>
  <si>
    <t>Ing Armando Gonzalez Reyna</t>
  </si>
  <si>
    <t>licitaciones@gruponuno.com</t>
  </si>
  <si>
    <t>Blindajeempresarial@gruponuno.com</t>
  </si>
  <si>
    <t xml:space="preserve"> C. Mexicaltzingo 2379, Col. Arcos Sur, 44150</t>
  </si>
  <si>
    <t xml:space="preserve"> (52) 1 33 3849 7819 </t>
  </si>
  <si>
    <t>GNA060130MF8</t>
  </si>
  <si>
    <t>www.gruponuno.com</t>
  </si>
  <si>
    <t>+523338497819</t>
  </si>
  <si>
    <t>Grupo Nuño</t>
  </si>
  <si>
    <t>Hannover Re</t>
  </si>
  <si>
    <t>Miguel Guarin</t>
  </si>
  <si>
    <t>miguel.guarin@hannover-re.com</t>
  </si>
  <si>
    <t>Nancy Triana</t>
  </si>
  <si>
    <t>Nancy.Triana@hannover-re.com</t>
  </si>
  <si>
    <t>Carrera 9 No. 77 - 67 Edificio Torre Unika Piso 5 Bogotá, Colombia</t>
  </si>
  <si>
    <t>57 6016420066</t>
  </si>
  <si>
    <t>900115552-6</t>
  </si>
  <si>
    <t>@hannover-re.com</t>
  </si>
  <si>
    <t>Rta al mail, está de vacaciones 25 nov./ mail dos enviado 2 dic, timbra sin rta se remite mail</t>
  </si>
  <si>
    <t>Hanseatica</t>
  </si>
  <si>
    <t>Guido Bottín</t>
  </si>
  <si>
    <t>Están revisando con el equipo</t>
  </si>
  <si>
    <t>Recibieron la convocatoria y van a revisar con el equipo si se postularán</t>
  </si>
  <si>
    <t>Guido Bottin</t>
  </si>
  <si>
    <t>gbottin@hanseatica.com</t>
  </si>
  <si>
    <t>Av. Del Libertador 498 P.23 - C.P. C1001ABR</t>
  </si>
  <si>
    <t>(+ 5411 ) 5353-2600</t>
  </si>
  <si>
    <t>30-71023374-4</t>
  </si>
  <si>
    <t>@hanseatica.com</t>
  </si>
  <si>
    <t>Opc.espera, timbra sin rta se remite mail</t>
  </si>
  <si>
    <t>HDI Mexico</t>
  </si>
  <si>
    <t>Eduardo González</t>
  </si>
  <si>
    <t xml:space="preserve">Confirma por WH </t>
  </si>
  <si>
    <t>Eduardo Gonzalez Orozco</t>
  </si>
  <si>
    <t>Eduardo.GonzalezOrozco@hdi.com.mx</t>
  </si>
  <si>
    <t>eduardo.gonzalezorozco@hdi.com.mx</t>
  </si>
  <si>
    <t>Blvd. San Juan Bosco 5003 Col. Rancho Seco C.P. 37669 León Guanajuato</t>
  </si>
  <si>
    <t>5539113832 /(601) 5562722728</t>
  </si>
  <si>
    <t>HSE701218532</t>
  </si>
  <si>
    <t>www.hdi.com.mx</t>
  </si>
  <si>
    <t>ÓK</t>
  </si>
  <si>
    <t>Respondió 28 nov, ok forms</t>
  </si>
  <si>
    <t>HDI Chile</t>
  </si>
  <si>
    <t xml:space="preserve">David Otero </t>
  </si>
  <si>
    <t>no ha revisado, lo hace y responde mail</t>
  </si>
  <si>
    <t>David Otero Valeta</t>
  </si>
  <si>
    <t>david.otero@hdi.cl</t>
  </si>
  <si>
    <t>Avda Manquehue 160. Las Condes. Santiago de Chile</t>
  </si>
  <si>
    <t>99.061.000-2</t>
  </si>
  <si>
    <t>@hdi.com.co</t>
  </si>
  <si>
    <t>Timbra sin rta se remite WH, revisa mail y actualiza datos</t>
  </si>
  <si>
    <t xml:space="preserve">Helix Marine </t>
  </si>
  <si>
    <t>ESPAÑA, PORTUGAL, UE, CHILE</t>
  </si>
  <si>
    <t>MGA-AGENCIA DE SUSCRIPCIÓN</t>
  </si>
  <si>
    <t xml:space="preserve">Rafael Real </t>
  </si>
  <si>
    <t>está ocupado por fin de año, sí quiere participar no sabe que miembro principal lo puede recomendar no tiene relación con aseguradoras. Le escribirá a Leonardo para manejar el tema</t>
  </si>
  <si>
    <t>Rafael Real</t>
  </si>
  <si>
    <t>rreal@helixmarine.es</t>
  </si>
  <si>
    <t>GORA ORTS TORNER</t>
  </si>
  <si>
    <t>gorts@helixmarine.es</t>
  </si>
  <si>
    <t xml:space="preserve"> Núñez de Balboa, 118-2º C 28006 | Madrid (España)</t>
  </si>
  <si>
    <t>34 91 2059947</t>
  </si>
  <si>
    <t>B02653202</t>
  </si>
  <si>
    <t>www.helixmarine.es</t>
  </si>
  <si>
    <t>Helvetia</t>
  </si>
  <si>
    <t xml:space="preserve">Latinoamérica </t>
  </si>
  <si>
    <t>Leonardo Morales</t>
  </si>
  <si>
    <t xml:space="preserve">leonardo.morales@helvetia.com </t>
  </si>
  <si>
    <t>+1 (954) 383-0079</t>
  </si>
  <si>
    <t>Soledad Torres</t>
  </si>
  <si>
    <t>soledad.torres@helvetia.com</t>
  </si>
  <si>
    <t>Andres Franco</t>
  </si>
  <si>
    <t>andres.franco@helvetia.com</t>
  </si>
  <si>
    <t>leonardo.morales@helvetia.com</t>
  </si>
  <si>
    <t>1395 Brickell Avenue Suite 680
33131 Miami, Florida</t>
  </si>
  <si>
    <t xml:space="preserve"> +1 (954) 383-0079 / 1 (305) 503 5166</t>
  </si>
  <si>
    <t>http://www.helvetia.com/specialtylines</t>
  </si>
  <si>
    <t>Charles Taylor (antes Herrera DKP)</t>
  </si>
  <si>
    <t xml:space="preserve">App dice que cel  #no existe </t>
  </si>
  <si>
    <t>Carlos Peralta</t>
  </si>
  <si>
    <t>cperalta@herdkp.com.pe</t>
  </si>
  <si>
    <t>AlfredoJose Kohel</t>
  </si>
  <si>
    <t>AlfredoJose.Kohel@charlestaylor.com</t>
  </si>
  <si>
    <t>Av. Carlos González 275 Oficina 203, San Miguel 15088, Perú</t>
  </si>
  <si>
    <t>(51) 1 442-2043</t>
  </si>
  <si>
    <t>@herdkp.com.pe</t>
  </si>
  <si>
    <t>Carlos Peralta es el delegado para cualquiera de los trámites se remite mail a AlfredoJose.Kohel@charlestaylor.com</t>
  </si>
  <si>
    <t>+51 981896332</t>
  </si>
  <si>
    <t>Alfredo</t>
  </si>
  <si>
    <t>Humano Seguros</t>
  </si>
  <si>
    <t>República Dominicana</t>
  </si>
  <si>
    <t>Elisa Collado</t>
  </si>
  <si>
    <t>ecollado@humano.com.do</t>
  </si>
  <si>
    <t>+(809)-475-3212</t>
  </si>
  <si>
    <t>Ave. Lope de Vega #36</t>
  </si>
  <si>
    <t>1 (809) 476 3535</t>
  </si>
  <si>
    <t>@humano.com.do</t>
  </si>
  <si>
    <t>Opc.1sin rta se remite mail</t>
  </si>
  <si>
    <t>IME - INTERNATIONAL MARINE EXPERTS</t>
  </si>
  <si>
    <t>Inspectores y Ajustadores</t>
  </si>
  <si>
    <t xml:space="preserve"> Inspectores y Ajustadores</t>
  </si>
  <si>
    <t>Jose Stoute</t>
  </si>
  <si>
    <t>Observatorio de Siniestros/Loss Control</t>
  </si>
  <si>
    <t>Javier Bru</t>
  </si>
  <si>
    <t>jbru@ime.com.pa</t>
  </si>
  <si>
    <t>+507 6676-8505 /22876000 ext 6113</t>
  </si>
  <si>
    <t>Eloy Collado</t>
  </si>
  <si>
    <t xml:space="preserve"> ecollado@ime.com.pa</t>
  </si>
  <si>
    <t>+507 6780-5046</t>
  </si>
  <si>
    <t>José Guillermo Stoute</t>
  </si>
  <si>
    <t>jstoute@ime.com.pa</t>
  </si>
  <si>
    <t>ime@ime.com.pa</t>
  </si>
  <si>
    <t xml:space="preserve"> Edificio N°0750-D Williamson Place, La Boca Balboa, Ancón Panamá, Rep. de Panamá PO Box 0843-02416 Balboa, Panamá República de Panamá.</t>
  </si>
  <si>
    <t>507 6676 8505 / 314-1756</t>
  </si>
  <si>
    <t>RUC: 578348-1-447718     DV: 00</t>
  </si>
  <si>
    <t>https://www.ime.com.pa/</t>
  </si>
  <si>
    <t>+50766768505</t>
  </si>
  <si>
    <t>INS - INSTITUTO NACIONAL DE SEGUROS</t>
  </si>
  <si>
    <t>Costa Rica</t>
  </si>
  <si>
    <t xml:space="preserve">María José </t>
  </si>
  <si>
    <t xml:space="preserve">ext 6113, contesta operadora </t>
  </si>
  <si>
    <t>María José Guerrero</t>
  </si>
  <si>
    <t>mguerreroc@grupoins.com</t>
  </si>
  <si>
    <t>22876000 ext 6113</t>
  </si>
  <si>
    <t>Calle 9 San José, San José, 10101, Costa Rica</t>
  </si>
  <si>
    <t>2287-600, extension 26113</t>
  </si>
  <si>
    <t xml:space="preserve"> @grupoins.com</t>
  </si>
  <si>
    <t>App no deja llamar, se remite maildice que tiene pdte la actualización</t>
  </si>
  <si>
    <t>Internacional de Seguros</t>
  </si>
  <si>
    <t>Panamá, Costa Rica</t>
  </si>
  <si>
    <t>Diana Barrios de Jaén - Sub Gerente de Transporte</t>
  </si>
  <si>
    <t>PTE</t>
  </si>
  <si>
    <t>Mauricio de la Guardia</t>
  </si>
  <si>
    <t>mdelaguardia@iseguros.com</t>
  </si>
  <si>
    <t>(507) 6672 4599</t>
  </si>
  <si>
    <t>Diana de Jaen</t>
  </si>
  <si>
    <t>djaen@iseguros.com</t>
  </si>
  <si>
    <t>(507) 6349 9752</t>
  </si>
  <si>
    <t>Calle 50, Edificio Credicorp Bank, PB, Piso 1, 17, 19, 20 y 21.</t>
  </si>
  <si>
    <t>507 206-4680</t>
  </si>
  <si>
    <t>2-221-78 DV56</t>
  </si>
  <si>
    <t>www.iseguros.com</t>
  </si>
  <si>
    <t>J CORREA ABOGADOS S.A.S.</t>
  </si>
  <si>
    <t>Pequeña-privada</t>
  </si>
  <si>
    <t>John Jairo Correa Escobar</t>
  </si>
  <si>
    <t>jjcorrea@jcorrealegal.com</t>
  </si>
  <si>
    <t>Diana Rodríguez</t>
  </si>
  <si>
    <t>drodriguez@jcorrealegal.com</t>
  </si>
  <si>
    <t>CALLE 73 No 9 42 OF. 305</t>
  </si>
  <si>
    <t>900411497-5</t>
  </si>
  <si>
    <t>https://jcorrealegal.com/</t>
  </si>
  <si>
    <t>JAH Insurance</t>
  </si>
  <si>
    <t>Brokers de seguros</t>
  </si>
  <si>
    <t>Intermediarios de seguro</t>
  </si>
  <si>
    <t>MARJORIE LOPEZ</t>
  </si>
  <si>
    <t>MLOPEZ@JAHINSURANCE.COM</t>
  </si>
  <si>
    <t>FRANCY PARADA</t>
  </si>
  <si>
    <t>FPARADA@JAHINSURANCE.COM</t>
  </si>
  <si>
    <t>V Churchill Esq. Rafael Sanchez, City Tower Piso 17-Ofc Tinkko, Ensanche Piantini</t>
  </si>
  <si>
    <t>132-26355-3</t>
  </si>
  <si>
    <t>https://www.jahinsurance.com</t>
  </si>
  <si>
    <t xml:space="preserve">JANET CHINCHÓN </t>
  </si>
  <si>
    <t>Timbra y pasa a buzón</t>
  </si>
  <si>
    <t>Janet Chinchon</t>
  </si>
  <si>
    <t>jchinchon@poussin.edu.pe</t>
  </si>
  <si>
    <t>Jr. Francisco de Zela 957, Distrito de Jesús María, Provincia: Lima, Departamento de Lima
Teléfono: (051) 4243306</t>
  </si>
  <si>
    <t>@poussin.edu.pe</t>
  </si>
  <si>
    <t>JHASA BROKERS S.L.</t>
  </si>
  <si>
    <t>Corredor de seguros</t>
  </si>
  <si>
    <t>Corredor de reaseguros</t>
  </si>
  <si>
    <t>Eneko Rubio</t>
  </si>
  <si>
    <t>por WH dice que lo recibió, ha tenido mucho trabajo no lo ha leído en detalle</t>
  </si>
  <si>
    <t>ENEKO RUBIO HERNANDEZ</t>
  </si>
  <si>
    <t>erubio@jjhasa.com</t>
  </si>
  <si>
    <t>jhasa@jjhasa.com</t>
  </si>
  <si>
    <t>CALLE PRINCIPE DE VERGARA, 43 - 3</t>
  </si>
  <si>
    <t>34 917527686</t>
  </si>
  <si>
    <t>B88023064</t>
  </si>
  <si>
    <t xml:space="preserve"> @jjhasa.com</t>
  </si>
  <si>
    <t>+34638713491</t>
  </si>
  <si>
    <t>Eneko</t>
  </si>
  <si>
    <t>JRZ AJUSTADORES</t>
  </si>
  <si>
    <t>Ajustadores y Peritos Marítimos</t>
  </si>
  <si>
    <t xml:space="preserve"> Ajustadores y Peritos Marítimos</t>
  </si>
  <si>
    <t>Jorge Rosas</t>
  </si>
  <si>
    <t>Jorge Luis Rosas</t>
  </si>
  <si>
    <t>jrzperitajes@jrzperu.com</t>
  </si>
  <si>
    <t>jrzgerencia@jrzperu.com</t>
  </si>
  <si>
    <t xml:space="preserve"> Av. Pedro Venturo Nº591, Santiago de Surco - Lima, Perú, 15038</t>
  </si>
  <si>
    <t>(51) 998 126 965</t>
  </si>
  <si>
    <t>RUC: 20473700191</t>
  </si>
  <si>
    <t>@jrzperu.com</t>
  </si>
  <si>
    <t>Mail dos enviado- 2 dic</t>
  </si>
  <si>
    <t>+51998126965</t>
  </si>
  <si>
    <t>Jorge</t>
  </si>
  <si>
    <t>KEEPER CARGO INSURANCE</t>
  </si>
  <si>
    <t>Agente de seguros</t>
  </si>
  <si>
    <t>Intermediario de seguros</t>
  </si>
  <si>
    <t>Esau Mendoza</t>
  </si>
  <si>
    <t>ESAÚ MISAEL MENDOZA HERNÁNDEZ</t>
  </si>
  <si>
    <t>cbdo@keeperscorp.com</t>
  </si>
  <si>
    <t>Calle VALPARAISO 2498 interior 101 colonia providencia, Guadalajara Jalisco México - C.p. 44630</t>
  </si>
  <si>
    <t>52  3313655932</t>
  </si>
  <si>
    <t>PLU240717MV6</t>
  </si>
  <si>
    <t xml:space="preserve"> @keeperscorp.com</t>
  </si>
  <si>
    <t>+523313655932</t>
  </si>
  <si>
    <t>Esau</t>
  </si>
  <si>
    <t>King salomon</t>
  </si>
  <si>
    <t>Eidelman González</t>
  </si>
  <si>
    <t>sí se postulará</t>
  </si>
  <si>
    <t>responde por WH</t>
  </si>
  <si>
    <t>Eidelman Javier Gonzalez Sánchez</t>
  </si>
  <si>
    <t>eidelman.gonzalez@kingsalomon.com</t>
  </si>
  <si>
    <t>+57 3002726669</t>
  </si>
  <si>
    <t xml:space="preserve">Paola Mariño Joya </t>
  </si>
  <si>
    <t>gestion@kingsalomon.com</t>
  </si>
  <si>
    <t>+57 3023417609</t>
  </si>
  <si>
    <t xml:space="preserve">Mónica Alejandra Forero Forero </t>
  </si>
  <si>
    <t xml:space="preserve"> litigios@kingsalomon.com</t>
  </si>
  <si>
    <t>+57 3124987997</t>
  </si>
  <si>
    <t xml:space="preserve"> Carrera 8 No. 38-33, Oficina 703. Bogotá, Colombia.</t>
  </si>
  <si>
    <t>601-2870737 y 3002726669</t>
  </si>
  <si>
    <t>NIT 900.157.568-0</t>
  </si>
  <si>
    <t>www.kingsalomon.com</t>
  </si>
  <si>
    <t>La Holando Sudamericana</t>
  </si>
  <si>
    <t>Juan Manuel Contrera</t>
  </si>
  <si>
    <t>Cascos</t>
  </si>
  <si>
    <t>15-Dic</t>
  </si>
  <si>
    <t>Susana</t>
  </si>
  <si>
    <t>jmcontrera@laholando.com</t>
  </si>
  <si>
    <t>+54 9 11 4039-0379</t>
  </si>
  <si>
    <t>Sarmiento 309 - Ciudad Autónoma de Buenos Aires - República Argentina</t>
  </si>
  <si>
    <t>(54) 911-3251-2222</t>
  </si>
  <si>
    <t>33-50003806-9</t>
  </si>
  <si>
    <t>@laholando.com</t>
  </si>
  <si>
    <t xml:space="preserve">Responde que no hay cambios 26 nov </t>
  </si>
  <si>
    <t>La Meridional Seguros</t>
  </si>
  <si>
    <t>App no deja llamar con indicativo de ARG</t>
  </si>
  <si>
    <t>Ignacio Lammic</t>
  </si>
  <si>
    <t>ilammic@meridionalseguros.com.ar </t>
  </si>
  <si>
    <t>Tte. Gral Peron 646, 1° Piso, Buenos Aires, Argentina</t>
  </si>
  <si>
    <t>0800-555-1234</t>
  </si>
  <si>
    <t>@meridionalseguros.com.ar </t>
  </si>
  <si>
    <t>La Monumental seguros</t>
  </si>
  <si>
    <t>Julissa Espinal</t>
  </si>
  <si>
    <t>va a revisar</t>
  </si>
  <si>
    <t>jespinal@lamonumental.com.do</t>
  </si>
  <si>
    <t>+1 (809) 754-9274</t>
  </si>
  <si>
    <t xml:space="preserve">/ Duvergé Esquina Sánchez Plaza Jean Luis. (Primer nivel al lado de La Loto) </t>
  </si>
  <si>
    <t>809-522-1643 x 3031</t>
  </si>
  <si>
    <t>@lamonumental.com.do</t>
  </si>
  <si>
    <t>+18097549274</t>
  </si>
  <si>
    <t>Julissa</t>
  </si>
  <si>
    <t>La Previsora</t>
  </si>
  <si>
    <t xml:space="preserve">Sí </t>
  </si>
  <si>
    <t>Javier Garzón</t>
  </si>
  <si>
    <t xml:space="preserve">confirma por WH </t>
  </si>
  <si>
    <t>JAVIER GARZÓN P</t>
  </si>
  <si>
    <t>Javier.garzon@previsora.gov.co</t>
  </si>
  <si>
    <t>Alonso Blanco Medina</t>
  </si>
  <si>
    <t>Alonso.blanco@previsora.gov.co</t>
  </si>
  <si>
    <t xml:space="preserve">JANETH BARRIOS BONILLA </t>
  </si>
  <si>
    <t>janeth.barrios@previsora.gov.co</t>
  </si>
  <si>
    <t>Calle 57 No. 9-07</t>
  </si>
  <si>
    <t>3485757 / 57) 601 348 7555</t>
  </si>
  <si>
    <t xml:space="preserve">860.002.400-2 </t>
  </si>
  <si>
    <t>https://www.previsora.gov.co</t>
  </si>
  <si>
    <t xml:space="preserve">ok forms 17 dic </t>
  </si>
  <si>
    <t>+576013485757</t>
  </si>
  <si>
    <t>La Union Seguros</t>
  </si>
  <si>
    <t xml:space="preserve">Timbra sin rta se manda WH </t>
  </si>
  <si>
    <t>Alejandro Goldbaum</t>
  </si>
  <si>
    <t>agoldbaum@seguroslaunion.com</t>
  </si>
  <si>
    <t>+593 99 948 4473</t>
  </si>
  <si>
    <t>kcobos@seguroslaunion.com</t>
  </si>
  <si>
    <t>Km. 5.5 vía a la costa Urb. Los Cedros Solares 1-2</t>
  </si>
  <si>
    <t>(593) 4 2851500</t>
  </si>
  <si>
    <t>@seguroslaunion.com</t>
  </si>
  <si>
    <t>se remite WH</t>
  </si>
  <si>
    <t>+593999484473</t>
  </si>
  <si>
    <t>Alejandro</t>
  </si>
  <si>
    <t>Liberty Specialty Markets</t>
  </si>
  <si>
    <t>Arturo Posada</t>
  </si>
  <si>
    <t>Arturo.Posada@LibertyMutual.com</t>
  </si>
  <si>
    <t>+1 (718) 473-6095</t>
  </si>
  <si>
    <t>Avenida Carrera 9
No.113-52 Oficina 505
Bogotá
Edificio Torres Unidas 2
Colombia</t>
  </si>
  <si>
    <t>57-1-7442642</t>
  </si>
  <si>
    <t>@LibertyMutual.com</t>
  </si>
  <si>
    <t>+17184736095</t>
  </si>
  <si>
    <t>Arturo</t>
  </si>
  <si>
    <t>LIMA RE CORREDORES DE REASEGUROS</t>
  </si>
  <si>
    <t>Corredores de reaseguro</t>
  </si>
  <si>
    <t>Julio del Pozo</t>
  </si>
  <si>
    <t>Timbra sin rta, Christian dice que no lo tiene, se remite al mail. Julio confirma por WH</t>
  </si>
  <si>
    <t>julio@lima-re.com</t>
  </si>
  <si>
    <t>Christian Cerna</t>
  </si>
  <si>
    <t>Christian.cerna@lima-re.com</t>
  </si>
  <si>
    <t>Av. Emilio Cavenecia 225, Oficina 202, San Isidro, Perú</t>
  </si>
  <si>
    <t>51 98 683 4212</t>
  </si>
  <si>
    <t>https://lima-re.com</t>
  </si>
  <si>
    <t>Lockton</t>
  </si>
  <si>
    <t>Brasil, Argentina, Uruguay Miami, Mexico, Colombia Peru Chile</t>
  </si>
  <si>
    <t>Intermediario de reaseguros</t>
  </si>
  <si>
    <t>Alejandro González</t>
  </si>
  <si>
    <t>No ha revisado, valida los detalles y definen</t>
  </si>
  <si>
    <t>Alejandro González Villanueva</t>
  </si>
  <si>
    <t>alejandro.gonzalez@lockton.com</t>
  </si>
  <si>
    <t>52 5580754959</t>
  </si>
  <si>
    <t>Av. Santa Fe No. 481, piso 17 Col. Cruz Manca, Ciudad de México C.P. 05349</t>
  </si>
  <si>
    <t>5255 59804300</t>
  </si>
  <si>
    <t>LMI950614BR3</t>
  </si>
  <si>
    <t>www.lockton.com</t>
  </si>
  <si>
    <t>Logrisk</t>
  </si>
  <si>
    <t>México, Colombia, Perú y Ecuador</t>
  </si>
  <si>
    <t xml:space="preserve">Gestión de riesgos </t>
  </si>
  <si>
    <t>Olivia Beatriz</t>
  </si>
  <si>
    <t>olivia.beatriz@logrisk.com.mx</t>
  </si>
  <si>
    <t>+ 52 55 8107 4554</t>
  </si>
  <si>
    <t>Gustavo Larrea</t>
  </si>
  <si>
    <t>gustavo.larrea@logrisk.com.mx</t>
  </si>
  <si>
    <t>+52 237 119 7974</t>
  </si>
  <si>
    <t>Tadeu Domingues</t>
  </si>
  <si>
    <t>tadeu@logrisk.com.mx</t>
  </si>
  <si>
    <t>+52 55 8107 4554</t>
  </si>
  <si>
    <t>comercial@logrisk.com.mx</t>
  </si>
  <si>
    <t>NO  PUBLICAR</t>
  </si>
  <si>
    <t>52 558107-4554</t>
  </si>
  <si>
    <t>LRI190208DP4</t>
  </si>
  <si>
    <t>logrisk.com.mx</t>
  </si>
  <si>
    <t>Pide en dirección poner sólo Ciudad de México</t>
  </si>
  <si>
    <t>52 55 8107-4554</t>
  </si>
  <si>
    <t>Olivia</t>
  </si>
  <si>
    <t>MACHADO E CREMONEZE ADVOGADOS ASSOCIADOS</t>
  </si>
  <si>
    <t>Paulo</t>
  </si>
  <si>
    <t>Contestan dicen que no está, debe enviarse mail ya que Sr Paulo está en Sao Paulo</t>
  </si>
  <si>
    <t>RUBENS WALTER MACHADO FILHO</t>
  </si>
  <si>
    <t>mclg@mclg.adv.br</t>
  </si>
  <si>
    <t>PAULO HENRIQUE CREMONEZE PACHECO</t>
  </si>
  <si>
    <t>AVENIDA ANA COSTA Nº 482, CONJ. 601,  GONZAGA - SANTOS/SP - CEP: 11060-002</t>
  </si>
  <si>
    <t>13 3877-6909</t>
  </si>
  <si>
    <t xml:space="preserve"> @mclg.adv.br</t>
  </si>
  <si>
    <t>A Paulo se le remite WH</t>
  </si>
  <si>
    <t>(13) 3877-6909</t>
  </si>
  <si>
    <t>Rubens</t>
  </si>
  <si>
    <t>MAIO LEGAL</t>
  </si>
  <si>
    <t>España, México, Portugal</t>
  </si>
  <si>
    <t>Angel Vallejo no está en la of., Oscar no está se debe remitir mail, se remite WH</t>
  </si>
  <si>
    <t xml:space="preserve">Ángel Vallejo </t>
  </si>
  <si>
    <t>avallejo@maiolegal.com</t>
  </si>
  <si>
    <t xml:space="preserve">Oscar Rionegro </t>
  </si>
  <si>
    <t>Orionegro@maiolegal.com</t>
  </si>
  <si>
    <t>622 252 221</t>
  </si>
  <si>
    <t>Calle Alcala 75 – Madrid (España).</t>
  </si>
  <si>
    <t>34 91 577 50 20</t>
  </si>
  <si>
    <t>B86206612</t>
  </si>
  <si>
    <t>www.maiolegal.com</t>
  </si>
  <si>
    <t>MALAKUT CORREDORES DE REASEGUROS, S.A.</t>
  </si>
  <si>
    <t>App no reconoce # con indicativo</t>
  </si>
  <si>
    <t>Marisel Díaz</t>
  </si>
  <si>
    <t>marisel.diaz@malakut.com.pa</t>
  </si>
  <si>
    <t>Orionegro</t>
  </si>
  <si>
    <t>7 727 259 65 97</t>
  </si>
  <si>
    <t>@malakut.com.pa</t>
  </si>
  <si>
    <t>se remite mail</t>
  </si>
  <si>
    <t>Mapfre Global Risks</t>
  </si>
  <si>
    <t xml:space="preserve">España, Portugal, Uk, Turquia, Malta, Filipinas, Argentuna, Brasil, Chile, Colombia, Mexico, Peru, Ecuador,Costa Rica, Panama, Nicaragua, El Salvador, Guatemala, Honduras, Republica Diminicana. </t>
  </si>
  <si>
    <t>Grupo asegurador internacional</t>
  </si>
  <si>
    <t>Inmaculada Pinel</t>
  </si>
  <si>
    <t>confirma por wh</t>
  </si>
  <si>
    <t>IPINEL@mapfre.com</t>
  </si>
  <si>
    <t>+34 682 93 82 53</t>
  </si>
  <si>
    <t>Asuncion Hernandez</t>
  </si>
  <si>
    <t>MAHERN1@mapfre.com</t>
  </si>
  <si>
    <t>No Aplica</t>
  </si>
  <si>
    <t>Ipinel@mapfre.com</t>
  </si>
  <si>
    <t>Carretera de Pozuelo 52, Edificio 2
28222 Majadahonda, Madrid (España)</t>
  </si>
  <si>
    <t>+34 682 938 253/34 915 81 51 12</t>
  </si>
  <si>
    <t>A88104799</t>
  </si>
  <si>
    <t>www.mapfre.com</t>
  </si>
  <si>
    <t>Respondió 15 dic, ok forms</t>
  </si>
  <si>
    <t>+34682938253</t>
  </si>
  <si>
    <t>Inmaculada</t>
  </si>
  <si>
    <t>MARCONSULT</t>
  </si>
  <si>
    <t xml:space="preserve">Perú, Colombia, Bolivia, Guatemala, Chile, Ecuador, Brasil, Argentina, El Salvador, Panamá, Honduras, República Dominicana </t>
  </si>
  <si>
    <t xml:space="preserve">Servicios Peritajes, Inspecciones, Ajustes, Investigaciones </t>
  </si>
  <si>
    <t>César Salerno</t>
  </si>
  <si>
    <t>está ocupado -llamar más tarde</t>
  </si>
  <si>
    <t>César Humberto Salerno Martínez</t>
  </si>
  <si>
    <t>csalerno@marconsult-fidens.com</t>
  </si>
  <si>
    <t>Ana Otavo</t>
  </si>
  <si>
    <t>Añado.co@marconsult.net</t>
  </si>
  <si>
    <t>Anao.co@marconsult.net</t>
  </si>
  <si>
    <t>Cl 127 70 G 78 oficina 305</t>
  </si>
  <si>
    <t>www.Marconsult.net</t>
  </si>
  <si>
    <t>16 dic ok forms</t>
  </si>
  <si>
    <t>+573012487014</t>
  </si>
  <si>
    <t>César</t>
  </si>
  <si>
    <t>Marlin Blue</t>
  </si>
  <si>
    <t>España, Argentina, Chile, Reino Unido, Irlanda, Países Bajos, Emiratos Árabes Unidos y Australia</t>
  </si>
  <si>
    <t>Está ocupado pide enviar msn por WH</t>
  </si>
  <si>
    <t>Jorge Díaz</t>
  </si>
  <si>
    <t>Jorge.diaz@marlinblue.com</t>
  </si>
  <si>
    <t>Nicolás Cosenza</t>
  </si>
  <si>
    <t>Nicolas.cosenza@marlinblue.com</t>
  </si>
  <si>
    <t>+54 9 11 5039 0044</t>
  </si>
  <si>
    <t>info@marlinblue.com</t>
  </si>
  <si>
    <t>Avenida de la Ría 8, 3.5, 21001 - Huelva, España</t>
  </si>
  <si>
    <t>+34 955 328 840/955283913</t>
  </si>
  <si>
    <t>B21535695</t>
  </si>
  <si>
    <t>www.marlinblue.com</t>
  </si>
  <si>
    <t xml:space="preserve">Respondió 3 dic, ok forms </t>
  </si>
  <si>
    <t>+34955328840</t>
  </si>
  <si>
    <t>MARSUR</t>
  </si>
  <si>
    <t>RicardoPuente</t>
  </si>
  <si>
    <t>ajustadores@marsur.com.ec</t>
  </si>
  <si>
    <t xml:space="preserve">GISELLE CARMEN DE ROSARIO </t>
  </si>
  <si>
    <t>galayza@marsur.com.ec</t>
  </si>
  <si>
    <t>Dirección: CDLA MATICES, ETAPA DIAMANTE, MZ. #13 Villa # 53 LA AURORA, DAULE - GUAYAS, ECUADOR</t>
  </si>
  <si>
    <t>593 992043765</t>
  </si>
  <si>
    <t>0992604190001</t>
  </si>
  <si>
    <t>@marsur.com.ec</t>
  </si>
  <si>
    <t xml:space="preserve">Se remite wh </t>
  </si>
  <si>
    <t>McLarens</t>
  </si>
  <si>
    <t>Intermediarios</t>
  </si>
  <si>
    <t>Cristian Hidalgo</t>
  </si>
  <si>
    <t>Leonardo</t>
  </si>
  <si>
    <t>Leonardo.Garzon@mclarens.com</t>
  </si>
  <si>
    <t>cristian.hidalgo@mclarens.com</t>
  </si>
  <si>
    <t>9100 S Dadeland Blvd, Suite 800, Miami FL 33156</t>
  </si>
  <si>
    <t>Numero de Registro 2062916</t>
  </si>
  <si>
    <t>@mclarens.com</t>
  </si>
  <si>
    <t>Mercantil Re</t>
  </si>
  <si>
    <t>App no reconoce # con indicativo de Panamá</t>
  </si>
  <si>
    <t xml:space="preserve">Lizanka Ayala </t>
  </si>
  <si>
    <t>layala@mercantilre.com</t>
  </si>
  <si>
    <t>Calle Punta Darién, Torres de las Américas, Torre C, Piso 32,
Urbanización Punta Pacífica, Ciudad de Panamá.</t>
  </si>
  <si>
    <t>507) 209.6734</t>
  </si>
  <si>
    <t>10614-40-108190 DV 27</t>
  </si>
  <si>
    <t>@mercantilre.com</t>
  </si>
  <si>
    <t>MLS GLOBAL (MONTT LIQUIDADORES)</t>
  </si>
  <si>
    <t xml:space="preserve">Jorge Montt </t>
  </si>
  <si>
    <t>celulares timbran sin rta, se remite WH</t>
  </si>
  <si>
    <t>Jorge Montt</t>
  </si>
  <si>
    <t>Jmontt@monttliquidadores.cl</t>
  </si>
  <si>
    <t>Aldo Montt</t>
  </si>
  <si>
    <t>amontt@monttliquidadores.cl</t>
  </si>
  <si>
    <t>AV. EL GOLF 40, PISO 12, LAS CONDES, SANTIAGO</t>
  </si>
  <si>
    <t>56 973957576</t>
  </si>
  <si>
    <t>76.273.096-0</t>
  </si>
  <si>
    <t>Mlsglobal.cl</t>
  </si>
  <si>
    <t>Respondió 3 dic, ok forms</t>
  </si>
  <si>
    <t>+56973957576</t>
  </si>
  <si>
    <t>MNK Seguros Compañía Aseguradora S.A. (Antes Oceánica de Seguros S.A.)</t>
  </si>
  <si>
    <t>Berny Mejías</t>
  </si>
  <si>
    <t>confirma por WH que espera enviar la postulación antes de fin de año</t>
  </si>
  <si>
    <t>Berny Mejias Angulo</t>
  </si>
  <si>
    <t>berny.mejias@mnkseguros.com</t>
  </si>
  <si>
    <t>SAN JOSE, CENTRAL, MATA REDONDA 100 METROS AL ESTE DE LA AGENCIA DATSUN NISSAN</t>
  </si>
  <si>
    <t xml:space="preserve">506 41027600 </t>
  </si>
  <si>
    <t>WWW.MNKSEGUROS.COM</t>
  </si>
  <si>
    <t>Moller de Centroamerica</t>
  </si>
  <si>
    <t xml:space="preserve">Opc. operadora, timbra sin rta </t>
  </si>
  <si>
    <t>Ginette Brenes</t>
  </si>
  <si>
    <t>gbrenes@mollercen.com</t>
  </si>
  <si>
    <t>@mollercen.com</t>
  </si>
  <si>
    <t>Momentum</t>
  </si>
  <si>
    <t>Andres Morales</t>
  </si>
  <si>
    <t>andresmoralescarbo@momentumreinsurance.com</t>
  </si>
  <si>
    <t>Sindy Rodríguez</t>
  </si>
  <si>
    <t xml:space="preserve"> sindy.rodriguez@grupooet.com</t>
  </si>
  <si>
    <t>Km 1.5 vía Samborondón, Edificio Xima, Piso 2, Oficina 214, Samborondón, Ecuador</t>
  </si>
  <si>
    <t>57 3108601961</t>
  </si>
  <si>
    <t>@momentumreinsurance.com</t>
  </si>
  <si>
    <t>timbra sin rta, se remite WH</t>
  </si>
  <si>
    <t>099 904 1564</t>
  </si>
  <si>
    <t>Juan Ponce</t>
  </si>
  <si>
    <t>MSIG Specialty Marine NV / Nov 2025 se llaman MS Amlin LAC Representantive</t>
  </si>
  <si>
    <t>Bélgica</t>
  </si>
  <si>
    <t>Aseguradora y Reaseguradora en nombre de MS AMLIN INSURANCE SE</t>
  </si>
  <si>
    <t>celulares pasan a buzón, se remite WH</t>
  </si>
  <si>
    <t>Claudio Bruyninx</t>
  </si>
  <si>
    <t>msamlin@underwritingpandisa.com</t>
  </si>
  <si>
    <t xml:space="preserve">KAREN NATALIA RAMIREZ JIMENEZ </t>
  </si>
  <si>
    <t>natalia.ramirez@underwritingpandisa.com</t>
  </si>
  <si>
    <t xml:space="preserve">Conjunto Aposentos de Yerbabuena casa 47, Sopo, Cundinamarca </t>
  </si>
  <si>
    <t>3188778286- 3218934988</t>
  </si>
  <si>
    <t>@underwritingpandisa.com</t>
  </si>
  <si>
    <t>sistema correo de voz, se remite mail Y wh, pide enviar mensaje a WH de Natalia 3218934988</t>
  </si>
  <si>
    <t>+573188778286</t>
  </si>
  <si>
    <t>Claudio</t>
  </si>
  <si>
    <t>Munich Re</t>
  </si>
  <si>
    <t>Henrique Cabral</t>
  </si>
  <si>
    <t>Carga y Cascos</t>
  </si>
  <si>
    <t>HCabral@munichre.com</t>
  </si>
  <si>
    <t>+55 11 98980-5498</t>
  </si>
  <si>
    <t xml:space="preserve"> Aldo Guzmán</t>
  </si>
  <si>
    <t xml:space="preserve"> aguzmanrosete@munichre.com</t>
  </si>
  <si>
    <t>Königinstr. 107
80802 Munich</t>
  </si>
  <si>
    <t>49 (89) 3891-5720</t>
  </si>
  <si>
    <t>@munichre.com</t>
  </si>
  <si>
    <t>+5511989805498</t>
  </si>
  <si>
    <t>Henrique</t>
  </si>
  <si>
    <t>Murimar</t>
  </si>
  <si>
    <t xml:space="preserve">Héctor Rios </t>
  </si>
  <si>
    <t>Está ocupado, revisa mail y se postulan</t>
  </si>
  <si>
    <t>Hector Rios</t>
  </si>
  <si>
    <t>MARITIMO@murimar.com</t>
  </si>
  <si>
    <t>direccioncomercial@murimar.com</t>
  </si>
  <si>
    <t>Calle Orense 58, Planta 6, 28020 Madrid</t>
  </si>
  <si>
    <t>34) 910 921 907</t>
  </si>
  <si>
    <t>@murimar.com</t>
  </si>
  <si>
    <t xml:space="preserve">34 616819452 </t>
  </si>
  <si>
    <t>Héctor</t>
  </si>
  <si>
    <t>Nacion Seguros</t>
  </si>
  <si>
    <t>Martin Ariel Perla</t>
  </si>
  <si>
    <t>mperla@nacion-seguros.com.ar</t>
  </si>
  <si>
    <t>Andrea Silva</t>
  </si>
  <si>
    <t xml:space="preserve"> asilva@nacion-seguros.com.ar</t>
  </si>
  <si>
    <t>San Martín 913 - C.A.B.A.</t>
  </si>
  <si>
    <t>11 4319-9900</t>
  </si>
  <si>
    <t>30-50004946-0</t>
  </si>
  <si>
    <t>@nacion-seguros.com.ar</t>
  </si>
  <si>
    <t>+541159491990</t>
  </si>
  <si>
    <t>Martín</t>
  </si>
  <si>
    <t>Nacora</t>
  </si>
  <si>
    <t>Andino y Centro America</t>
  </si>
  <si>
    <t>Agencia de seguros</t>
  </si>
  <si>
    <t>Maira Castañeda</t>
  </si>
  <si>
    <t>Lo compartió con equipo y gerencia, está en validación. Pablo responde WH que sí lo recibió</t>
  </si>
  <si>
    <t xml:space="preserve">Pablo Quintero </t>
  </si>
  <si>
    <t>pablo.quintero@nacora.com</t>
  </si>
  <si>
    <t>57 (310) 588 7954</t>
  </si>
  <si>
    <t>maira.castaneda@nacora.com</t>
  </si>
  <si>
    <t>Leonardo Vargas</t>
  </si>
  <si>
    <t>leonardo.vargas@nacora.com</t>
  </si>
  <si>
    <t>57 (322) 465 95 40</t>
  </si>
  <si>
    <t>Calle 113 # 7-80 Torre AR Piso 5</t>
  </si>
  <si>
    <t>57 (322) 465 95 40/ 57 3102191997</t>
  </si>
  <si>
    <t>900400934-5</t>
  </si>
  <si>
    <t>WWW.NACORA.COM</t>
  </si>
  <si>
    <t>Names Agencia de Suscripción</t>
  </si>
  <si>
    <t>Agencia</t>
  </si>
  <si>
    <t>Agencia de suscripción</t>
  </si>
  <si>
    <t>Fernando Barrio</t>
  </si>
  <si>
    <t>No ha leído, revisa mail y se postulan</t>
  </si>
  <si>
    <t>Fernando  Barrio</t>
  </si>
  <si>
    <t>fbarrio@namesuagency.com</t>
  </si>
  <si>
    <t>C/ Proción, 14 — 28023 MADRID</t>
  </si>
  <si>
    <t>(34) 917 431 698</t>
  </si>
  <si>
    <t>B85383875_x000D_</t>
  </si>
  <si>
    <t>@namesuagency.com</t>
  </si>
  <si>
    <t xml:space="preserve">se remite mail 3, está ocupado revisa mail y responde </t>
  </si>
  <si>
    <t>+34 662 32 87 95</t>
  </si>
  <si>
    <t>Fernando</t>
  </si>
  <si>
    <t>NAVIGATORS (THE HARTFORD)</t>
  </si>
  <si>
    <t>Efraín Sorá</t>
  </si>
  <si>
    <t>no se presentará este año</t>
  </si>
  <si>
    <t>Efraín Sora</t>
  </si>
  <si>
    <t>Efrain.sora@thehartford.com</t>
  </si>
  <si>
    <t>+1 (786) 390-4663</t>
  </si>
  <si>
    <t>Dirección: 355 Alhambra Circle, Suite 1510
Coral Gables, FL 33134</t>
  </si>
  <si>
    <t>415-217-8507</t>
  </si>
  <si>
    <t>@thehartford.com</t>
  </si>
  <si>
    <t>Se llama THE HARTFORD, web nov,2025/ está fuera de la of.</t>
  </si>
  <si>
    <t>+17863904663</t>
  </si>
  <si>
    <t>Options &amp; Adjusters (sigla 2025 OPA)</t>
  </si>
  <si>
    <t xml:space="preserve">José R Valle </t>
  </si>
  <si>
    <t>Dice que no la recibió, pide enviar al mail de nuevo, confirma por WH</t>
  </si>
  <si>
    <t>Jose Ricardo Valle Cajiao</t>
  </si>
  <si>
    <t> jvalle@opa-crawford.com</t>
  </si>
  <si>
    <t>Daniela Elizabeth Valle Cajiao</t>
  </si>
  <si>
    <t>dvalle@opa-crawford.com</t>
  </si>
  <si>
    <t>0 984011986</t>
  </si>
  <si>
    <t>Byron Ricardo</t>
  </si>
  <si>
    <t>rvalle@opa-crawford.com</t>
  </si>
  <si>
    <t>jvalle@opa-crawford.com</t>
  </si>
  <si>
    <t>Manrique Lara N40-562 y De Los Motilones
Sector Batan Alto</t>
  </si>
  <si>
    <t>593 995915256</t>
  </si>
  <si>
    <t>17 91970616001</t>
  </si>
  <si>
    <t>https://www.opa-crawford.com</t>
  </si>
  <si>
    <t xml:space="preserve">Llenó el forms y remite mail25 nov </t>
  </si>
  <si>
    <t>Pacifico Seguros</t>
  </si>
  <si>
    <t>Paul Caceres</t>
  </si>
  <si>
    <t>en vacaciones revisa cuando vuelvs</t>
  </si>
  <si>
    <t>Paul caceres</t>
  </si>
  <si>
    <t>pcaceres@pacifico.com.pe</t>
  </si>
  <si>
    <t>+51 998 746 738</t>
  </si>
  <si>
    <t>Av. Juan de Arona 830, San Isidro - Lima 27</t>
  </si>
  <si>
    <t xml:space="preserve"> (01) 513 50 00</t>
  </si>
  <si>
    <t>@pacifico.com.pe</t>
  </si>
  <si>
    <t>Mail dos enviado, está de vacaciones hasta 12 dic, se remite a mail transportesycascos@pacifico.com.pe/ se remite wh</t>
  </si>
  <si>
    <t>998746738</t>
  </si>
  <si>
    <t>Paul</t>
  </si>
  <si>
    <t>Powermaritima</t>
  </si>
  <si>
    <t>Ligia Condoy</t>
  </si>
  <si>
    <t xml:space="preserve">info@powermaritima.net </t>
  </si>
  <si>
    <t>acct@powermaritima.net</t>
  </si>
  <si>
    <t>Cdla. Puerto Azul
Guayaquil 090903 - Ecuador</t>
  </si>
  <si>
    <t>(593) 4 4600 004</t>
  </si>
  <si>
    <t>@powermaritima.net</t>
  </si>
  <si>
    <t>La sra Ligia no está, piden enviar nuevamente el mail para actualizar</t>
  </si>
  <si>
    <t>+593992200370</t>
  </si>
  <si>
    <t>Ligia</t>
  </si>
  <si>
    <t>Praam</t>
  </si>
  <si>
    <t>Pedro Serrano</t>
  </si>
  <si>
    <t>Contesta el hijo Pedro Serrano dice que está en reunión, sí recibió info, revisan mail y definen</t>
  </si>
  <si>
    <t xml:space="preserve">JOSE VENANCIO PEDRO </t>
  </si>
  <si>
    <t>pedro.serrano@praam.com.Mx</t>
  </si>
  <si>
    <t>Sergio Flores</t>
  </si>
  <si>
    <t>sergio.flores@praam.com.mx</t>
  </si>
  <si>
    <t xml:space="preserve">PEDRO SERRANO BECERRA </t>
  </si>
  <si>
    <t>pedro.sbecerra@praam.com.mx</t>
  </si>
  <si>
    <t xml:space="preserve">Miguel Angel de Quevedo 995 Coyoacán </t>
  </si>
  <si>
    <t>(52) (55) 5689- 6416 / (52) (55) 5689-8834
(52) (55) 5689-3363</t>
  </si>
  <si>
    <t>PIR051114 DG3</t>
  </si>
  <si>
    <t>@praam.com.mx</t>
  </si>
  <si>
    <t>app no deja llamar se remite mail</t>
  </si>
  <si>
    <t>Price Forbes</t>
  </si>
  <si>
    <t>Diego Martínez</t>
  </si>
  <si>
    <t>Timbra sin rta, se remite WH Diego y confirma recibido</t>
  </si>
  <si>
    <t>DiegoMartinez@priceforbes.com</t>
  </si>
  <si>
    <t>Pablo Vergara</t>
  </si>
  <si>
    <t>PabloVergara@priceforbes.com</t>
  </si>
  <si>
    <t>Fredy Henriquez</t>
  </si>
  <si>
    <t>FredyHenríquez@priceforbes.com</t>
  </si>
  <si>
    <t xml:space="preserve"> Isidora Goyenechea #3000 – Piso 15, oficina 1502</t>
  </si>
  <si>
    <t>@priceforbes.com</t>
  </si>
  <si>
    <t>Timbra sin rta se remite wh</t>
  </si>
  <si>
    <t>+56940171292</t>
  </si>
  <si>
    <t>Probitas</t>
  </si>
  <si>
    <t>Jaime</t>
  </si>
  <si>
    <t xml:space="preserve">Timbra sin rta, se manda WH a cel.Jaime dice que no recibió mail, se remite correo </t>
  </si>
  <si>
    <t>ALEXANDER DANILO RODRIGUEZ VICENCIO</t>
  </si>
  <si>
    <t>arodriguez@probitas.cl</t>
  </si>
  <si>
    <t>+56 9 31867374</t>
  </si>
  <si>
    <t>Ximena Velasquez</t>
  </si>
  <si>
    <t>Ximena Velasquez &lt;xvelasquez@probitas.cl&gt;</t>
  </si>
  <si>
    <t>JAIME  IVAN GONZALEZ  ASTUDILLO</t>
  </si>
  <si>
    <t>jgonzalez@probitas.cl</t>
  </si>
  <si>
    <t>EVARISTO LILLO 78, OF. 101, LAS CONDES-SANTIAGO</t>
  </si>
  <si>
    <t>56 2 32220140</t>
  </si>
  <si>
    <t>76.495.515-3</t>
  </si>
  <si>
    <t>@probitas.cl</t>
  </si>
  <si>
    <t>9 9222 1796</t>
  </si>
  <si>
    <t>QBE</t>
  </si>
  <si>
    <t xml:space="preserve">Estados Unidos </t>
  </si>
  <si>
    <t>Cesar Real</t>
  </si>
  <si>
    <t>Deben revisar</t>
  </si>
  <si>
    <t xml:space="preserve">creal@qbeim.com </t>
  </si>
  <si>
    <t>+1 (305) 979-5190</t>
  </si>
  <si>
    <t>Cindy Gramcko</t>
  </si>
  <si>
    <t>cindy.gramcko@qbe.com</t>
  </si>
  <si>
    <t>cesar.realrodriguez@qbe.com</t>
  </si>
  <si>
    <t>111 Brickell Avenue, Miami, FL, 33131</t>
  </si>
  <si>
    <t>1 305 979 5190</t>
  </si>
  <si>
    <t>N/A</t>
  </si>
  <si>
    <t>https://qbeim.com/</t>
  </si>
  <si>
    <t xml:space="preserve">Respondió 4 dic, ok forms </t>
  </si>
  <si>
    <t>+1 305 979 5190.</t>
  </si>
  <si>
    <t>Reasanto</t>
  </si>
  <si>
    <t>Republica Dominicana</t>
  </si>
  <si>
    <t>República Dominican, Honduras, Guatemala, El Salvador, México, Panamá</t>
  </si>
  <si>
    <t>MARIA EUGENIA TORREALBA RONDON</t>
  </si>
  <si>
    <t>m.torrealba@reasanto.com</t>
  </si>
  <si>
    <t>Angel Cortina</t>
  </si>
  <si>
    <t>a.cortina@reasanto.com</t>
  </si>
  <si>
    <t>Elena Pimentel</t>
  </si>
  <si>
    <t>e.pimentel@reasanto.com</t>
  </si>
  <si>
    <t xml:space="preserve">Av. Roberto Pastoriza 455, Villa Palmera Business Center, Local A1101, ensanche Piantini. </t>
  </si>
  <si>
    <t>8092278705 /031-0095719-4</t>
  </si>
  <si>
    <t>www.reasanto.com</t>
  </si>
  <si>
    <t>REASEGURADORA DEL ECUADOR S.A.- ECUARE</t>
  </si>
  <si>
    <t>Ecuador, Panamá, Paraguay, Costa Rica, Bolivia, Uruguay, Perú y Republica Dominicana</t>
  </si>
  <si>
    <t>Nataly Campoverde</t>
  </si>
  <si>
    <t>rta por WH</t>
  </si>
  <si>
    <t>Nataly Campoverde B.</t>
  </si>
  <si>
    <t>ncampoverde@ecuare.com</t>
  </si>
  <si>
    <t>593 992468590</t>
  </si>
  <si>
    <t>Mónica Hidalgo</t>
  </si>
  <si>
    <t>mhidalgo@ecuare.com</t>
  </si>
  <si>
    <t>593 999021701</t>
  </si>
  <si>
    <t>Guisella Muñoz</t>
  </si>
  <si>
    <t>gmunoz@ecuare.com</t>
  </si>
  <si>
    <t>593 996561886</t>
  </si>
  <si>
    <t>AV RODRIGO CHAVEZ, PARQUE EMPRESARIAL COLON, EDIF. EMPRESARIALES 3 MEZANINE OFIC 5</t>
  </si>
  <si>
    <t>+593 4 2596860/593 4 259 6860</t>
  </si>
  <si>
    <t>99 0310785001</t>
  </si>
  <si>
    <t>https://www.ecuare.com/</t>
  </si>
  <si>
    <t>Reasinter</t>
  </si>
  <si>
    <t>México, EEUU</t>
  </si>
  <si>
    <t xml:space="preserve">Broker de reaseguros </t>
  </si>
  <si>
    <t>Celulares timbran sin rta</t>
  </si>
  <si>
    <t>Marisa Díez Canedo Novelo</t>
  </si>
  <si>
    <t>mdcn@inter.mx</t>
  </si>
  <si>
    <t>+52 55 1825 9463</t>
  </si>
  <si>
    <t>Elizabeth Escalante</t>
  </si>
  <si>
    <t>gee@inter.mx</t>
  </si>
  <si>
    <t>+52 55 3556 5887</t>
  </si>
  <si>
    <t>Miguel De Cervantes Saavedra No. 301 Torre Sur Piso 17, Granada, Miguel Hidalgo.</t>
  </si>
  <si>
    <t>+52 55 44246837/52 55 5263 7979</t>
  </si>
  <si>
    <t>RIR970904CZ7</t>
  </si>
  <si>
    <t>https://www.interproteccion.com.mx/</t>
  </si>
  <si>
    <t>REDNA AJUSTADORES</t>
  </si>
  <si>
    <t>Angel Ignacio Gallardo Zamorano</t>
  </si>
  <si>
    <t>angel.gallardo@redna.mx</t>
  </si>
  <si>
    <t>Samantha Gallardo Rivero</t>
  </si>
  <si>
    <t>samantha.gallardo@redna.mx</t>
  </si>
  <si>
    <t>Francisco Castillo</t>
  </si>
  <si>
    <t>francisco.castillo@redna.mx</t>
  </si>
  <si>
    <t xml:space="preserve">contacto@redna.com </t>
  </si>
  <si>
    <t>Calle Emilio Zola 1270, Los Altos, Tijuana, B.C. CP 22536, Mexico</t>
  </si>
  <si>
    <t>52 6646841340</t>
  </si>
  <si>
    <t>BAS990809F89</t>
  </si>
  <si>
    <t xml:space="preserve">www.redna.com.mx </t>
  </si>
  <si>
    <t xml:space="preserve">Respondió 25 nov, ok forms </t>
  </si>
  <si>
    <t>Reunion re</t>
  </si>
  <si>
    <t>Marcelo Di Sario</t>
  </si>
  <si>
    <t xml:space="preserve">Ext 8119 Ha estado ocupado, revisa mail y se postulan </t>
  </si>
  <si>
    <t xml:space="preserve">Marcelo Di Sario </t>
  </si>
  <si>
    <t>mdisario@reunionre.com.ar</t>
  </si>
  <si>
    <t>Av. Eduardo Madero 1020, 17° piso | C1106ACX Ciudad Autónoma de Buenos Aires, Argentina.</t>
  </si>
  <si>
    <t>(5411) 4311-5445 Int 8119</t>
  </si>
  <si>
    <t>@reunionre.com.ar</t>
  </si>
  <si>
    <t>Ext ocupada se remite mail, revisa mail y actualiza datos</t>
  </si>
  <si>
    <t>Rokstone</t>
  </si>
  <si>
    <t>Reino Unido</t>
  </si>
  <si>
    <t>Revisar representante</t>
  </si>
  <si>
    <t>marcos.prada@rokstoneum.com</t>
  </si>
  <si>
    <t>The Monument Building,
3rd Floor,
11 Monument Street,
London,
EC3R 8AF,
United Kingdom</t>
  </si>
  <si>
    <t>0203 961 9840</t>
  </si>
  <si>
    <t>84-3270598</t>
  </si>
  <si>
    <t>@rokstoneum.com</t>
  </si>
  <si>
    <t xml:space="preserve">se remite mail nuevamente </t>
  </si>
  <si>
    <t>ROS</t>
  </si>
  <si>
    <t>opc. 0, timbra sin rta</t>
  </si>
  <si>
    <t>Carlos Nieto</t>
  </si>
  <si>
    <t>carlos.nieto@ros.com.do</t>
  </si>
  <si>
    <t>jose.rodriguez@ros.com.do</t>
  </si>
  <si>
    <t>Gregorio Luperón #4
Piso 1 – Departamento 1 N,</t>
  </si>
  <si>
    <t>(809) 567-1021</t>
  </si>
  <si>
    <t>RNC 101032928</t>
  </si>
  <si>
    <t>@ros.com.do</t>
  </si>
  <si>
    <t xml:space="preserve">Timbra, opc 0 sin rta se remite maila José </t>
  </si>
  <si>
    <t>Intact (antes RSA)</t>
  </si>
  <si>
    <t>Juan Patricio</t>
  </si>
  <si>
    <t xml:space="preserve">Revisará el mail y responde o se postula </t>
  </si>
  <si>
    <t>Juan Patricio Corral</t>
  </si>
  <si>
    <t>juanpatricio.corral@uk.rsagroup.com</t>
  </si>
  <si>
    <t>+34 663 99 96 17</t>
  </si>
  <si>
    <t>juanpatricio.corral@intactinsurance.eu</t>
  </si>
  <si>
    <t>Edificio Torre Europa - Planta 19; Paseo de la Castellana 95; 28046Madrid</t>
  </si>
  <si>
    <t>+34 91 791 9371/34 91 110 24 36</t>
  </si>
  <si>
    <t>W0186741E</t>
  </si>
  <si>
    <t>www.intactinsurance.eu</t>
  </si>
  <si>
    <t xml:space="preserve">ok forms 13 dic </t>
  </si>
  <si>
    <t>+34663999617</t>
  </si>
  <si>
    <t>RTS - RIESGOS TASACIONES Y SERVICIOS S.A.</t>
  </si>
  <si>
    <t xml:space="preserve">ESPAÑA, PORTUGAL, MÉXICO, MIAMI, ARGENTINA, COLOMBIA, PERÚ, CHILE, HONDURAS, COSTA RICA, GUATEMALA, BRASIL, ECUADOR, EL SALVADOR, REPÚBLICA DOMINICANA, PANAMA, PUERTO RICO, </t>
  </si>
  <si>
    <t>Servicios de peritación</t>
  </si>
  <si>
    <t>David Castillo</t>
  </si>
  <si>
    <t>están validando los documentos y responden</t>
  </si>
  <si>
    <t>David Castilo</t>
  </si>
  <si>
    <t>dcastillo@rtsgrupo.com</t>
  </si>
  <si>
    <t>+34 607085212</t>
  </si>
  <si>
    <t>Maria Pilar Seidenschnur</t>
  </si>
  <si>
    <t>mse@rtsgrupo.com</t>
  </si>
  <si>
    <t>*34 610053674</t>
  </si>
  <si>
    <t>Kamli Chugani</t>
  </si>
  <si>
    <t>kch@rtsgrupo.com</t>
  </si>
  <si>
    <t>Dirección: C/ Doctor Fleming, 3, 5ª Planta
28036 Madrid - España</t>
  </si>
  <si>
    <t>34 914584600.</t>
  </si>
  <si>
    <t>ES A78537552</t>
  </si>
  <si>
    <t>www.rtsgrupo.com</t>
  </si>
  <si>
    <t xml:space="preserve">Respondió 15 dic, ok forms </t>
  </si>
  <si>
    <t>+34607085212</t>
  </si>
  <si>
    <t>David</t>
  </si>
  <si>
    <t>Safe link</t>
  </si>
  <si>
    <t>Lorena Orozco</t>
  </si>
  <si>
    <t>Pendiente por revisar</t>
  </si>
  <si>
    <t>Fernanda Orozco</t>
  </si>
  <si>
    <t>forozco@safelinkcorp.com</t>
  </si>
  <si>
    <t>Lago Alberto # 442, Torre A, Piso 5, Of. 507 y 516, V. Anzures,
CDMX, C.P. 11320</t>
  </si>
  <si>
    <t>(52) 4774615268</t>
  </si>
  <si>
    <t>@safelinkcorp.com</t>
  </si>
  <si>
    <t>Timbra sin rta se remite mail</t>
  </si>
  <si>
    <t>Saint Clement</t>
  </si>
  <si>
    <t xml:space="preserve">España, UK, Chile, </t>
  </si>
  <si>
    <t>TPA - Claims advisory</t>
  </si>
  <si>
    <t>Agencia de Recuperación</t>
  </si>
  <si>
    <t>Cristina del Rio</t>
  </si>
  <si>
    <t>Lo están mirando con el equipo, con Sr Orca que está en siniestros</t>
  </si>
  <si>
    <t>Cristina del Rio Diaz de Espada</t>
  </si>
  <si>
    <t>cdelrio@saint-clement.com</t>
  </si>
  <si>
    <t>34 650635733</t>
  </si>
  <si>
    <t>Ninguno</t>
  </si>
  <si>
    <t>C/. Proción, 14
28023 MADRID</t>
  </si>
  <si>
    <t>34 915 638 632</t>
  </si>
  <si>
    <t>B87294302</t>
  </si>
  <si>
    <t>www.saint-clement.com</t>
  </si>
  <si>
    <t>SANCOR COOPERATIVA DE SEGUROS ARGENTINA</t>
  </si>
  <si>
    <t>Fabian Molina</t>
  </si>
  <si>
    <t>No esta seguro</t>
  </si>
  <si>
    <t>Lo revisa cuando vuelva de vacaciones</t>
  </si>
  <si>
    <t>FABIAN FELIPE CRISTOBAL</t>
  </si>
  <si>
    <t>ffmolina@sancorseguros.com.ar</t>
  </si>
  <si>
    <t>+54 9 3493 45-7724</t>
  </si>
  <si>
    <t>RUTA NAC 34 KM 257 0 - SUNCHALES 2322 - SANTA FE</t>
  </si>
  <si>
    <t>3493-428500</t>
  </si>
  <si>
    <t xml:space="preserve"> @sancorseguros.com.ar</t>
  </si>
  <si>
    <t>se remite wh</t>
  </si>
  <si>
    <t>SANCOR SEGUROS DEL PARAGUAY SA</t>
  </si>
  <si>
    <t>Paraguay</t>
  </si>
  <si>
    <t>Claudelina Benitez</t>
  </si>
  <si>
    <t>Claudelina  Benitez Morales</t>
  </si>
  <si>
    <t>clbenitez@sancorseguros.com.py</t>
  </si>
  <si>
    <t>+595 986 112146</t>
  </si>
  <si>
    <t>Juan XXIII esq Herib Campos Cervera</t>
  </si>
  <si>
    <t>021 620 8000</t>
  </si>
  <si>
    <t xml:space="preserve"> @sancorseguros.com.py</t>
  </si>
  <si>
    <t>SBS Seguros</t>
  </si>
  <si>
    <t>Liliana Gonzalez</t>
  </si>
  <si>
    <t>Cascos y RC donde cumple con los años de experiencia en RC marítima</t>
  </si>
  <si>
    <t>LILIANA GONZALEZ</t>
  </si>
  <si>
    <t>liliana.gonzalez@sbseguros.co</t>
  </si>
  <si>
    <t>+57 3155015594</t>
  </si>
  <si>
    <t xml:space="preserve">AVENIDA CARRERA 9 N° 101-67 PISO 7 </t>
  </si>
  <si>
    <t>https://www.sbseguros.co/</t>
  </si>
  <si>
    <t>Seguros Bolivar</t>
  </si>
  <si>
    <t>Felipe Velazquez</t>
  </si>
  <si>
    <t>juan.velasquez.velasquez@segurosbolivar.com</t>
  </si>
  <si>
    <t>Mauricio Murillo</t>
  </si>
  <si>
    <t>mauricio.murillo@segurosbolivar.com</t>
  </si>
  <si>
    <t>+573217766836</t>
  </si>
  <si>
    <t>Avenida calle 26 #68b-31</t>
  </si>
  <si>
    <t>57 322 3 322 322</t>
  </si>
  <si>
    <t xml:space="preserve">860002180-7 </t>
  </si>
  <si>
    <t>@segurosbolivar.com</t>
  </si>
  <si>
    <t>+573053679020</t>
  </si>
  <si>
    <t>Juan</t>
  </si>
  <si>
    <t>Seguros Crecer</t>
  </si>
  <si>
    <t>La sra Nina ,ni la sr Laura no está en of. toman msn, se debe remitir mail</t>
  </si>
  <si>
    <t>Nina D'agostini</t>
  </si>
  <si>
    <t>ndagostini@seguroscrecer.com</t>
  </si>
  <si>
    <t>+(809)920-5000 ext.4214/ 8094678163</t>
  </si>
  <si>
    <t>GILDA RODRIGUEZ</t>
  </si>
  <si>
    <t>grodriguez@seguroscrecer.com</t>
  </si>
  <si>
    <t>809-519-0580</t>
  </si>
  <si>
    <t>Miranda Harper</t>
  </si>
  <si>
    <t>mharper@seguroscrecer.com</t>
  </si>
  <si>
    <t>Seguroscrecerrd@gmail.com</t>
  </si>
  <si>
    <t>av. winston churchill 5, esq. calle ludovino fernandez, urbanizacion fernandez</t>
  </si>
  <si>
    <t>8093684040/ (809)-920-5000</t>
  </si>
  <si>
    <t>https://seguroscrecer.com/</t>
  </si>
  <si>
    <t xml:space="preserve">ok forms 16 dic </t>
  </si>
  <si>
    <t>Seguros del Estado</t>
  </si>
  <si>
    <t xml:space="preserve">
</t>
  </si>
  <si>
    <t>LAURA ALEXANDRA BERMEJO PADILLA</t>
  </si>
  <si>
    <t>Laura.Bermejo@segurosdelestado.com</t>
  </si>
  <si>
    <t>MILTON GERARDO GIRALDO BARRERO</t>
  </si>
  <si>
    <t>Milton.Giraldo@segurosdelestado.com</t>
  </si>
  <si>
    <t>juridico@segurosdelestado.com</t>
  </si>
  <si>
    <t>Autopista Norte N°103 - 60 Edificio Amadeus, Piso 5</t>
  </si>
  <si>
    <t>860.009.578-6</t>
  </si>
  <si>
    <t>timbra, opc. 3 sin rta se remite mail</t>
  </si>
  <si>
    <t>Seguros El Roble</t>
  </si>
  <si>
    <t>Guatemala</t>
  </si>
  <si>
    <t>Ingrid Gudiel</t>
  </si>
  <si>
    <t>Ingrid Johany  Gudiel Morales</t>
  </si>
  <si>
    <t>igudiel@elroble.com</t>
  </si>
  <si>
    <t>+502 5696 5685</t>
  </si>
  <si>
    <t>7a. Avenida 5-10 zona 4</t>
  </si>
  <si>
    <t>(502) 24203333</t>
  </si>
  <si>
    <t>NIT 7108-0</t>
  </si>
  <si>
    <t xml:space="preserve"> @elroble.com</t>
  </si>
  <si>
    <t>+50256965685</t>
  </si>
  <si>
    <t>Ingrid</t>
  </si>
  <si>
    <t>Seguros Magne</t>
  </si>
  <si>
    <t>Corredores de directo?</t>
  </si>
  <si>
    <t>Claudio Magne</t>
  </si>
  <si>
    <t>claudiomagne@gmail.com</t>
  </si>
  <si>
    <t>​Antonio Bellet 193 of. 1411, Edificio Both de Providencia
​</t>
  </si>
  <si>
    <t>569 97552403</t>
  </si>
  <si>
    <t>timbra sin rta se remite mail</t>
  </si>
  <si>
    <t>SEGUROS UNIVERSAL</t>
  </si>
  <si>
    <t xml:space="preserve">Ileana Ovalle </t>
  </si>
  <si>
    <t>Lo recibió y compartió con el Sr Ernesto</t>
  </si>
  <si>
    <t>Ernesto Santos Ortiz</t>
  </si>
  <si>
    <t>esantos@universal.com.do</t>
  </si>
  <si>
    <t>+829-292-4444</t>
  </si>
  <si>
    <t>Ileana Ovalle</t>
  </si>
  <si>
    <t>iovalle@universal.com.do</t>
  </si>
  <si>
    <t xml:space="preserve"> AV. WINSTON CHURCHILL #1100, EVARISTO MORALES, DISTRITO NACIONAL</t>
  </si>
  <si>
    <t xml:space="preserve"> 809-544-7144 / 829-292-4444</t>
  </si>
  <si>
    <t>https://www.segurosuniversal.com.do</t>
  </si>
  <si>
    <t>Seguros ATLAS</t>
  </si>
  <si>
    <t>Seguros</t>
  </si>
  <si>
    <t>Roxana</t>
  </si>
  <si>
    <t>Roxana Rios</t>
  </si>
  <si>
    <t>rrios@segurosatlas.com.mx</t>
  </si>
  <si>
    <t>+52 55 4384 3616</t>
  </si>
  <si>
    <t>PASEO DE LOS TAMARINDOS
BOSQUES DE LAS LOMAS CDMX</t>
  </si>
  <si>
    <t>55 9177 5050</t>
  </si>
  <si>
    <t>SAT8410245V8</t>
  </si>
  <si>
    <t>https://segurosatlas.com.mx</t>
  </si>
  <si>
    <t>Respondió 10 dic, ok forms</t>
  </si>
  <si>
    <t>+525543843616</t>
  </si>
  <si>
    <t>SGC</t>
  </si>
  <si>
    <t>chile</t>
  </si>
  <si>
    <t>Está reunión, operadora pide enviar mail para rta de él, y le pasa msn</t>
  </si>
  <si>
    <t>Aaron Martinez</t>
  </si>
  <si>
    <t>amartinez@sgc-group.cl</t>
  </si>
  <si>
    <t>ANDREA DURAN OLGUIN</t>
  </si>
  <si>
    <t>contabilidad@sgc.cl</t>
  </si>
  <si>
    <t>AV. NUEVA PROVIDENCIA 1901 PISO 6</t>
  </si>
  <si>
    <t>56 2 2431 7000</t>
  </si>
  <si>
    <t>96.802.220-2</t>
  </si>
  <si>
    <t>@sgc-group.cl</t>
  </si>
  <si>
    <t>Som.us</t>
  </si>
  <si>
    <t>Alejandro Hernandez</t>
  </si>
  <si>
    <t>alejandro.hernandez@som.us</t>
  </si>
  <si>
    <t xml:space="preserve">Panzacola 62, Col. Barrio Santa Catarina, Alcaldía de Coyoacán, Ciudad de México. </t>
  </si>
  <si>
    <t>CGM9612038K9</t>
  </si>
  <si>
    <t>@som.us</t>
  </si>
  <si>
    <t>Sompo Brasil</t>
  </si>
  <si>
    <t>Adailton Dias</t>
  </si>
  <si>
    <t xml:space="preserve">adailton@sompo.com.br </t>
  </si>
  <si>
    <t>R. Cubatão, 320 - Paraíso, São Paulo - SP, 04013-001, Brasil</t>
  </si>
  <si>
    <t>55 11 3156-2990</t>
  </si>
  <si>
    <t xml:space="preserve"> @sompo.com.br </t>
  </si>
  <si>
    <t>Southbridge</t>
  </si>
  <si>
    <t>Priscila Mora</t>
  </si>
  <si>
    <t xml:space="preserve">Priscila.mora@sbins.cl </t>
  </si>
  <si>
    <t xml:space="preserve">Josefina Humeres  </t>
  </si>
  <si>
    <t xml:space="preserve">
Av. Presidente Riesco 5335, Piso 15, Las Condes.</t>
  </si>
  <si>
    <t>(56) 228268000</t>
  </si>
  <si>
    <t>99.288.000-7</t>
  </si>
  <si>
    <t>@sbins.cl</t>
  </si>
  <si>
    <t>99545879</t>
  </si>
  <si>
    <t>Priscila</t>
  </si>
  <si>
    <t>Specialty Reinsurance Brokers</t>
  </si>
  <si>
    <t>Panamá, Costa Rica, El Salvador, Honduras, Guatemala, Republica Dominicana</t>
  </si>
  <si>
    <t>Ivon Moreno</t>
  </si>
  <si>
    <t>Lo están definiendo en la empresa</t>
  </si>
  <si>
    <t xml:space="preserve"> ivon.moreno@specialtyregroup.com </t>
  </si>
  <si>
    <t>Andrea Padilla</t>
  </si>
  <si>
    <t>andrea.padilla@specialtyregroup.com</t>
  </si>
  <si>
    <t>Elena Salgado</t>
  </si>
  <si>
    <t>elena.salgado@specialtyregroup.com</t>
  </si>
  <si>
    <t>administracion@specialtyregroup.com</t>
  </si>
  <si>
    <t>AF&amp;F Tower, 50th St., Suite 38-C, Panama City, Republic of Panama</t>
  </si>
  <si>
    <t>507) 209-4260</t>
  </si>
  <si>
    <t>2531723-1-823542 DV 25</t>
  </si>
  <si>
    <t>https://www.specialtyregroup.com/</t>
  </si>
  <si>
    <t xml:space="preserve">Ok forms 16 dic </t>
  </si>
  <si>
    <t>11989805498</t>
  </si>
  <si>
    <t>Ivon</t>
  </si>
  <si>
    <t>Starr</t>
  </si>
  <si>
    <t>Diego Calderon</t>
  </si>
  <si>
    <t>observatorio siniestros, consulta si pueden volver a postularse</t>
  </si>
  <si>
    <t>Diego Calderon</t>
  </si>
  <si>
    <t>diego.calderon@starrcompanies.com</t>
  </si>
  <si>
    <t>+56 9 7481 0905</t>
  </si>
  <si>
    <t>APOQUINDO, 2827,
OFICINA 1002, LAS CONDES,
SANTIAGO, CHILE</t>
  </si>
  <si>
    <t>54 1151737465</t>
  </si>
  <si>
    <t>@starrcompanies.com</t>
  </si>
  <si>
    <t xml:space="preserve">Se remite mail, ya que Diego dice que no han actualizado los datos </t>
  </si>
  <si>
    <t>+56974810905</t>
  </si>
  <si>
    <t>Stowmarine Services and Consultansy</t>
  </si>
  <si>
    <t>República Dominicana y el Caribe</t>
  </si>
  <si>
    <t>David Alejandro</t>
  </si>
  <si>
    <t>Timbra sin rta, repsonde por mail que está en Btá algo ocupado pero se postulará</t>
  </si>
  <si>
    <t>David Alejandro Yépez Castro</t>
  </si>
  <si>
    <t>dyepez@stowmarineservices.com</t>
  </si>
  <si>
    <t>Hayrlen Marchena</t>
  </si>
  <si>
    <t>accounting@stowmarineservices.com</t>
  </si>
  <si>
    <t>Vanessa Bexiga</t>
  </si>
  <si>
    <t>bexiga@stowmarineservices.com</t>
  </si>
  <si>
    <t>+1 (849) 581-0150</t>
  </si>
  <si>
    <t>surveys@stowmarineservices.com</t>
  </si>
  <si>
    <t>Avenida Tiradentes #20, esq. Presidente González, Edificio La Isla, Piso 1, Ensanche Naco, Santo Domingo, Dominican Republic.</t>
  </si>
  <si>
    <t>1 (849) 214 4772</t>
  </si>
  <si>
    <t>www.stowmarineservices.com</t>
  </si>
  <si>
    <t>+18492144772</t>
  </si>
  <si>
    <t>Summa Re</t>
  </si>
  <si>
    <t>Erika no está en la of., toman msn y se debe enviar mail (Aracely le informará de la llamada )</t>
  </si>
  <si>
    <t>Erika Virgil</t>
  </si>
  <si>
    <t>erika.vigil@summare.com.mx</t>
  </si>
  <si>
    <t>Dirección: Jose Maria Velasco no 13 Oficina 202Col. San Jose InsurgentesAlcaldía Benito JuarezCP 03900CDMX</t>
  </si>
  <si>
    <t>52 55 5662 6368</t>
  </si>
  <si>
    <t>@summare.com.mx</t>
  </si>
  <si>
    <t>Sunlight Solutions</t>
  </si>
  <si>
    <t>Antonio Lizano</t>
  </si>
  <si>
    <t>No tenía claro que podía presentarse pero le interesa colaborar</t>
  </si>
  <si>
    <t>15 Dic</t>
  </si>
  <si>
    <t>Antonio Lizano Duran</t>
  </si>
  <si>
    <t>alizano@sunlightsolutions.com</t>
  </si>
  <si>
    <t>Alberto Pernett</t>
  </si>
  <si>
    <t>apernett@sunlightsolutions.com</t>
  </si>
  <si>
    <t>1209 Orange Street Wilmington, Delaware 19801</t>
  </si>
  <si>
    <t>EIN:82-1074576</t>
  </si>
  <si>
    <t xml:space="preserve"> @sunlightsolutions.com</t>
  </si>
  <si>
    <t>+13125324553</t>
  </si>
  <si>
    <t>Antonio</t>
  </si>
  <si>
    <t>Sura Colombia</t>
  </si>
  <si>
    <t>Luis Fernando Jaramillo</t>
  </si>
  <si>
    <t>ljaramillog@sura.com.co</t>
  </si>
  <si>
    <t>+57 310 8543314</t>
  </si>
  <si>
    <t>Yudy Alexandra</t>
  </si>
  <si>
    <t>yagomez@sura.com.co</t>
  </si>
  <si>
    <t xml:space="preserve"> CR 63 49A-31 P1 ED CAMACOL</t>
  </si>
  <si>
    <t xml:space="preserve"> (604) 2602100</t>
  </si>
  <si>
    <t>890903407-9</t>
  </si>
  <si>
    <t xml:space="preserve"> @sura.com.co</t>
  </si>
  <si>
    <t>Swiss Re</t>
  </si>
  <si>
    <t>Maria Fernanda Alonso</t>
  </si>
  <si>
    <t>Maria Fernanda Alonso Diaz</t>
  </si>
  <si>
    <t>mariafernanda_alonso@swissre.com</t>
  </si>
  <si>
    <t>+1 (512) 669-6632</t>
  </si>
  <si>
    <t>Carrera 7, No. 113-43, Oficina 1506, Edificio Torre Samsung</t>
  </si>
  <si>
    <t>57 601 514 9800</t>
  </si>
  <si>
    <t>@swissre.com</t>
  </si>
  <si>
    <t>+19727768606</t>
  </si>
  <si>
    <t>María F</t>
  </si>
  <si>
    <t>TBS - Intermediario de seguros</t>
  </si>
  <si>
    <t>Buzón de voz</t>
  </si>
  <si>
    <t>Jorge Jocken</t>
  </si>
  <si>
    <t>jorge.jockens@tbsmexico.com.mx</t>
  </si>
  <si>
    <t>Ricardo Salgado</t>
  </si>
  <si>
    <t>ricardo.salgado@tbsmexico.com.mx</t>
  </si>
  <si>
    <t>Parque Granada No.71 PH 501
Col. Parques de la Herradura
Huixquilucan, Estado de México</t>
  </si>
  <si>
    <t>(52 55) 52 90 58 26 con 6</t>
  </si>
  <si>
    <t>TIR0901279E6_x000D_</t>
  </si>
  <si>
    <t>@tbsmexico.com.mx</t>
  </si>
  <si>
    <t>55 5507 9963</t>
  </si>
  <si>
    <t>Transantlantic Re</t>
  </si>
  <si>
    <t xml:space="preserve">App no deja llamar l (786), el # fijo de empresa timbra sin rta </t>
  </si>
  <si>
    <t>Alfonso Valle</t>
  </si>
  <si>
    <t>avalle@transre.com</t>
  </si>
  <si>
    <t>Dinovac Santa Maria</t>
  </si>
  <si>
    <t>dsantamaria@transre.com</t>
  </si>
  <si>
    <r>
      <rPr>
        <b/>
        <sz val="9"/>
        <color rgb="FF1E22AA"/>
        <rFont val="Times New Roman"/>
        <family val="1"/>
      </rPr>
      <t> T</t>
    </r>
    <r>
      <rPr>
        <sz val="9"/>
        <color rgb="FF000000"/>
        <rFont val="Times New Roman"/>
        <family val="1"/>
      </rPr>
      <t>:</t>
    </r>
    <r>
      <rPr>
        <sz val="9"/>
        <color rgb="FF000000"/>
        <rFont val="Chalet LondonNineteenSixty"/>
      </rPr>
      <t> </t>
    </r>
    <r>
      <rPr>
        <sz val="9"/>
        <color rgb="FF000000"/>
        <rFont val="Times New Roman"/>
        <family val="1"/>
      </rPr>
      <t>786 437 3910</t>
    </r>
  </si>
  <si>
    <t>One Liberty Plaza
165 Broadway
New York, NY 10006</t>
  </si>
  <si>
    <t>1 212 365 2200</t>
  </si>
  <si>
    <t>13-5616275_x000D_</t>
  </si>
  <si>
    <t>@transre.com</t>
  </si>
  <si>
    <t>UK P&amp;I CLUB</t>
  </si>
  <si>
    <t>P&amp;I CLUB</t>
  </si>
  <si>
    <t>Rafael Díaz</t>
  </si>
  <si>
    <t>Por WH confirma, tiene dudas de su categoría y si siendo aseguradora puede postularse</t>
  </si>
  <si>
    <t>RAFAEL ANGEL DIAZ OQUENDO</t>
  </si>
  <si>
    <t>Rafael.Diaz@thomasmiller.com</t>
  </si>
  <si>
    <t>Harborside 5. 185 Hudson Street, Suite 2710. Jersey City NJ 07311. United States.</t>
  </si>
  <si>
    <t xml:space="preserve"> @thomasmiller.com</t>
  </si>
  <si>
    <t>+12019121621</t>
  </si>
  <si>
    <t>Rafael</t>
  </si>
  <si>
    <t>Umbrella Re</t>
  </si>
  <si>
    <t>Estados Unidos y Ecuador</t>
  </si>
  <si>
    <t>República Dominicana, Ecuador, Caribe</t>
  </si>
  <si>
    <t>Limited Liability Company</t>
  </si>
  <si>
    <t xml:space="preserve">Carlos Santos </t>
  </si>
  <si>
    <t>Timbra sin rta, se manda WH a Carlos dice que no lo recibió, se remite mail y anexos y confirma el recibido por WH</t>
  </si>
  <si>
    <t>Carlos Enrique Santos Salvador</t>
  </si>
  <si>
    <t>Carlos.santos@umbrellare.com</t>
  </si>
  <si>
    <t>+593 99 076 3050</t>
  </si>
  <si>
    <t>José Manuel Santos</t>
  </si>
  <si>
    <t>jose.santos@umbrellare.com</t>
  </si>
  <si>
    <t>+593 98 879 2026</t>
  </si>
  <si>
    <t>operations@umbrellare.com</t>
  </si>
  <si>
    <t>10791 NW 53RD ST SUITE 103 , SUNRISE FL 33351</t>
  </si>
  <si>
    <t>LLAMADAS 305-515-9529 / LLAMADAS Y WHATSAPP +593-999657888</t>
  </si>
  <si>
    <t>UMBRELLARE.COM</t>
  </si>
  <si>
    <t>+593990763050</t>
  </si>
  <si>
    <t>VADASA</t>
  </si>
  <si>
    <t>Emanuel Vasquez</t>
  </si>
  <si>
    <t>emanuel.vasquez@vadasa.com</t>
  </si>
  <si>
    <t>CAPULIN 53, TLAJOMULCO DE ZUÑIGA, JALISCO.</t>
  </si>
  <si>
    <t>VDA93011352A</t>
  </si>
  <si>
    <t>@vadasa.com</t>
  </si>
  <si>
    <t>3338093872</t>
  </si>
  <si>
    <t>Emanuel</t>
  </si>
  <si>
    <t>VAIS</t>
  </si>
  <si>
    <t>Tecnologia</t>
  </si>
  <si>
    <t>Guillermo Beilinson</t>
  </si>
  <si>
    <t>gbeilinson@vaistech.io</t>
  </si>
  <si>
    <t>CAMILA O GORMAN 412, PISO 6, CABA, BUENOS AIRES, ARGENTINA</t>
  </si>
  <si>
    <t>30-71809165-5</t>
  </si>
  <si>
    <t xml:space="preserve"> @vaistech.io</t>
  </si>
  <si>
    <t>En control pagos no hay info de membresía</t>
  </si>
  <si>
    <t>+5491167198344</t>
  </si>
  <si>
    <t>Guillermo</t>
  </si>
  <si>
    <t>VICAN UNDERWRITERS</t>
  </si>
  <si>
    <t>Latam y Caribe</t>
  </si>
  <si>
    <t>Eduardo Zunino</t>
  </si>
  <si>
    <t xml:space="preserve">confirma por  WH Eduardo y Aida </t>
  </si>
  <si>
    <t>EDUARDO ZUNINO</t>
  </si>
  <si>
    <t>ezunino@vican.com.uy</t>
  </si>
  <si>
    <t>Aida Elena Fontana Rodriguez</t>
  </si>
  <si>
    <t>afontana@vican.com.uy</t>
  </si>
  <si>
    <t>Dr Luis Bonavita N°1294 Torre I Piso 2 Of 205</t>
  </si>
  <si>
    <t>www.vican.com.uy</t>
  </si>
  <si>
    <t>Villagran Lara</t>
  </si>
  <si>
    <t>Leonidas Villagran</t>
  </si>
  <si>
    <t>leonidas@villagranlara.com</t>
  </si>
  <si>
    <t>Jessica Cisneros</t>
  </si>
  <si>
    <t>jessica@villagranlara.com</t>
  </si>
  <si>
    <t>Calle 3a No. 604-A y Las Monjas.
Guayaquil, Ecuador.</t>
  </si>
  <si>
    <t>@villagranlara.com</t>
  </si>
  <si>
    <t>098 664 5166</t>
  </si>
  <si>
    <t>Leonidas</t>
  </si>
  <si>
    <t>Viollier ajustadores</t>
  </si>
  <si>
    <t>Antonio Valdivia</t>
  </si>
  <si>
    <t>Comité de carga</t>
  </si>
  <si>
    <t>avaldivia@vyaa.cl</t>
  </si>
  <si>
    <t>La Concepción N°322, piso 13,
Casilla 4203, Providencia</t>
  </si>
  <si>
    <t>(56-2) 2378 4300</t>
  </si>
  <si>
    <t>96.594.270-K_x000D_</t>
  </si>
  <si>
    <t>@vyaa.cl</t>
  </si>
  <si>
    <t>+56993305293</t>
  </si>
  <si>
    <t>Willis Towers Watson</t>
  </si>
  <si>
    <t>Inglaterra</t>
  </si>
  <si>
    <t>Argentina, Brasil, Chile, Peru, Colombia, Venezuela, Mexico, Panama, Honduras, Guatemala, El Salvador, Guatemala e Costa Rica.</t>
  </si>
  <si>
    <t xml:space="preserve">Eduardo Michelin </t>
  </si>
  <si>
    <t>eduardo.michelin@wtwco.com</t>
  </si>
  <si>
    <t>AV CRA 19 95 20 P 24</t>
  </si>
  <si>
    <t xml:space="preserve">+55 11 999654673 / 54 11 4324 1147    </t>
  </si>
  <si>
    <t>www.wtwco.com</t>
  </si>
  <si>
    <t>Remite info por mail 28 nov.</t>
  </si>
  <si>
    <t>Zurich</t>
  </si>
  <si>
    <t>Aida Avila</t>
  </si>
  <si>
    <t>aida.avila1@mx.zurich.com</t>
  </si>
  <si>
    <t>+52 1 55 2971 9518</t>
  </si>
  <si>
    <t>Calle 116 # 7-15, Oficina 1201. Bogotá,</t>
  </si>
  <si>
    <t>57 317 364 3185</t>
  </si>
  <si>
    <t>@mx.zurich.com</t>
  </si>
  <si>
    <t>+525529719518</t>
  </si>
  <si>
    <t>Aida</t>
  </si>
  <si>
    <t>Compañía</t>
  </si>
  <si>
    <t>Tipo de Compañía</t>
  </si>
  <si>
    <t>Tipo de Afiliado</t>
  </si>
  <si>
    <t>Valor membresía 2025</t>
  </si>
  <si>
    <t>Fecha Inicio Membresia</t>
  </si>
  <si>
    <t>CREST</t>
  </si>
  <si>
    <t>Miembros</t>
  </si>
  <si>
    <t>Asociados</t>
  </si>
  <si>
    <t>NACORA</t>
  </si>
  <si>
    <t>SBS SEGUROS COLOMBIA</t>
  </si>
  <si>
    <t>Insurtech</t>
  </si>
  <si>
    <t>SEGUROS DEL ESTADO</t>
  </si>
  <si>
    <t>BANCO DAVIVIENDA HONDURAS</t>
  </si>
  <si>
    <t>Corredores de seguros y reaseguros</t>
  </si>
  <si>
    <t>DAC BEACHCROFT</t>
  </si>
  <si>
    <t>Aseguradora de riesgos P&amp;I</t>
  </si>
  <si>
    <t>Corredor de seguro</t>
  </si>
  <si>
    <t>Corredores de Seguros</t>
  </si>
  <si>
    <t>Tipo de Empresa</t>
  </si>
  <si>
    <t>Teléfono</t>
  </si>
  <si>
    <t>País</t>
  </si>
  <si>
    <t>The Spencer Company</t>
  </si>
  <si>
    <t>Liquidadores de Averías</t>
  </si>
  <si>
    <t>Jonathan S. Spencer</t>
  </si>
  <si>
    <t xml:space="preserve">jss@jssusa.com </t>
  </si>
  <si>
    <t>3340, State Route 52, White Sulphur Springs, NY 12787</t>
  </si>
  <si>
    <t>1 (917) 696-5467</t>
  </si>
  <si>
    <t>@jssusa.com</t>
  </si>
  <si>
    <t>J. R. Rodriguez &amp; Asociados</t>
  </si>
  <si>
    <t>Julieta Rodríguez</t>
  </si>
  <si>
    <t>rodriguezjulieta@jrryasoc.com.ar</t>
  </si>
  <si>
    <t xml:space="preserve">Jorge Ruben </t>
  </si>
  <si>
    <t>rodriguezjr@jrryasoc.com.ar</t>
  </si>
  <si>
    <t>Lavalle 547, Piso 2º Oficina “A” (C1047AAK)
Buenos Aires – Argentina</t>
  </si>
  <si>
    <t>(54 11) 4393 5919</t>
  </si>
  <si>
    <t>@jrryasoc.com.ar</t>
  </si>
  <si>
    <t>Kennedys</t>
  </si>
  <si>
    <t>Valeria Largo</t>
  </si>
  <si>
    <t xml:space="preserve">Valeria.Largo@kennedyslaw.com </t>
  </si>
  <si>
    <t>Nataly Castiblanco</t>
  </si>
  <si>
    <t xml:space="preserve">Nataly.Castelblanco@kennedyslaw.com </t>
  </si>
  <si>
    <t>Carrera 9 No. 115-06, Piso 28 Edificio Tierra Firme, Oficina 2802 Bogotá,</t>
  </si>
  <si>
    <t>57 1 390 5888</t>
  </si>
  <si>
    <t>@kennedyslaw.com</t>
  </si>
  <si>
    <t>ASSA COSTA RICA</t>
  </si>
  <si>
    <t xml:space="preserve">Roberto Mock </t>
  </si>
  <si>
    <t>rmock@assanet.com</t>
  </si>
  <si>
    <t>Forum I, edificio F, San José, Costa Rica</t>
  </si>
  <si>
    <t>506 2503 2700</t>
  </si>
  <si>
    <t xml:space="preserve"> @assanet.com</t>
  </si>
  <si>
    <t xml:space="preserve">Opc 7 </t>
  </si>
  <si>
    <t>Ingresos Membresias 2024</t>
  </si>
  <si>
    <t>Fecha</t>
  </si>
  <si>
    <t>LA MERIDIONAL</t>
  </si>
  <si>
    <t>ASSA COMPANIA</t>
  </si>
  <si>
    <t>MARLIN BLUE</t>
  </si>
  <si>
    <t xml:space="preserve">ADDVALORA-MOLLER </t>
  </si>
  <si>
    <t>UMBRELLA</t>
  </si>
  <si>
    <t>SUMMA RE</t>
  </si>
  <si>
    <t>HANSEATICA</t>
  </si>
  <si>
    <t>Americal Re</t>
  </si>
  <si>
    <t>Options &amp; Adjusters</t>
  </si>
  <si>
    <t xml:space="preserve">ECUA RE-REASEGURADORA DEL ECUADOR </t>
  </si>
  <si>
    <t>Ajusco Ecuador</t>
  </si>
  <si>
    <t>30-jul / 1-ago</t>
  </si>
  <si>
    <t>ANDES TOOL</t>
  </si>
  <si>
    <t>9.ago</t>
  </si>
  <si>
    <t>MC LARENS</t>
  </si>
  <si>
    <t>ECUASUIZA</t>
  </si>
  <si>
    <t>PROBITAS</t>
  </si>
  <si>
    <t>NACION SEGUROS</t>
  </si>
  <si>
    <t>GALICIA SEGUROS</t>
  </si>
  <si>
    <t>OCEANICA DE SEGUROS</t>
  </si>
  <si>
    <t>FAIRFAX BRASIL SEGUROS</t>
  </si>
  <si>
    <t>BCI SEGUROS</t>
  </si>
  <si>
    <t>Noviembre</t>
  </si>
  <si>
    <t>Jersey City - New york</t>
  </si>
  <si>
    <t>P&amp;I</t>
  </si>
  <si>
    <t>NO</t>
  </si>
  <si>
    <t xml:space="preserve">John Correa </t>
  </si>
  <si>
    <t>Postulación</t>
  </si>
  <si>
    <t>KEEPER CARGO INSURANCE MEXICO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</si>
</sst>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XDR&quot;* #,##0.00_-;\-&quot;XDR&quot;* #,##0.00_-;_-&quot;XDR&quot;* &quot;-&quot;??_-;_-@_-"/>
    <numFmt numFmtId="165" formatCode="[$-409]d\-mmm\-yy;@"/>
    <numFmt numFmtId="166" formatCode="[$$-409]#,##0"/>
    <numFmt numFmtId="167" formatCode="_-[$USD]\ * #,##0_-;\-[$USD]\ * #,##0_-;_-[$USD]\ * &quot;-&quot;_-;_-@_-"/>
  </numFmts>
  <fonts count="4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Poppins"/>
      <family val="3"/>
    </font>
    <font>
      <sz val="10"/>
      <color theme="1"/>
      <name val="Poppins"/>
      <family val="3"/>
    </font>
    <font>
      <sz val="10"/>
      <color rgb="FF212529"/>
      <name val="Poppins"/>
      <family val="3"/>
    </font>
    <font>
      <sz val="10"/>
      <color theme="0"/>
      <name val="Abadi"/>
      <family val="2"/>
    </font>
    <font>
      <b/>
      <sz val="10"/>
      <color theme="0"/>
      <name val="Abadi"/>
      <family val="2"/>
    </font>
    <font>
      <sz val="10"/>
      <name val="Abadi"/>
      <family val="2"/>
    </font>
    <font>
      <sz val="10"/>
      <color rgb="FF333333"/>
      <name val="Abadi"/>
      <family val="2"/>
    </font>
    <font>
      <u/>
      <sz val="10"/>
      <color theme="10"/>
      <name val="Abadi"/>
      <family val="2"/>
    </font>
    <font>
      <sz val="10"/>
      <color theme="1"/>
      <name val="Abad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0"/>
      <color theme="0"/>
      <name val="Arial Narrow"/>
      <family val="2"/>
    </font>
    <font>
      <b/>
      <sz val="10"/>
      <color theme="0"/>
      <name val="Arial Narrow"/>
      <family val="2"/>
    </font>
    <font>
      <sz val="7"/>
      <color rgb="FF222222"/>
      <name val="Roboto"/>
    </font>
    <font>
      <sz val="11"/>
      <color theme="1"/>
      <name val="Calibri"/>
      <family val="2"/>
    </font>
    <font>
      <b/>
      <sz val="10"/>
      <name val="Abadi"/>
      <family val="2"/>
    </font>
    <font>
      <b/>
      <sz val="10"/>
      <color theme="1"/>
      <name val="Abadi"/>
      <family val="2"/>
    </font>
    <font>
      <b/>
      <sz val="10"/>
      <color rgb="FF000000"/>
      <name val="Abadi"/>
      <family val="2"/>
    </font>
    <font>
      <b/>
      <sz val="8"/>
      <color rgb="FF00000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0"/>
      <color rgb="FF000000"/>
      <name val="Abadi"/>
      <family val="2"/>
    </font>
    <font>
      <sz val="10"/>
      <color rgb="FF434343"/>
      <name val="Roboto"/>
    </font>
    <font>
      <sz val="11"/>
      <color rgb="FF000000"/>
      <name val="Aptos Narrow"/>
      <family val="2"/>
      <scheme val="minor"/>
    </font>
    <font>
      <sz val="11"/>
      <color rgb="FF242424"/>
      <name val="Aptos Narrow"/>
      <family val="2"/>
    </font>
    <font>
      <sz val="10"/>
      <color rgb="FFFF0000"/>
      <name val="Abadi"/>
      <family val="2"/>
    </font>
    <font>
      <sz val="11"/>
      <color rgb="FFFF000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sz val="7"/>
      <color rgb="FF5E5E5E"/>
      <name val="Roboto"/>
    </font>
    <font>
      <u/>
      <sz val="11"/>
      <color theme="1"/>
      <name val="Aptos Narrow"/>
      <family val="2"/>
      <scheme val="minor"/>
    </font>
    <font>
      <u/>
      <sz val="8"/>
      <color theme="10"/>
      <name val="Abadi"/>
      <family val="2"/>
    </font>
    <font>
      <sz val="8"/>
      <name val="Abadi"/>
      <family val="2"/>
    </font>
    <font>
      <b/>
      <sz val="10"/>
      <color rgb="FF001871"/>
      <name val="Arial"/>
      <family val="2"/>
    </font>
    <font>
      <sz val="7"/>
      <color rgb="FF222222"/>
      <name val="Arial"/>
      <family val="2"/>
    </font>
    <font>
      <b/>
      <sz val="9"/>
      <color rgb="FF1E22AA"/>
      <name val="Times New Roman"/>
      <family val="1"/>
    </font>
    <font>
      <sz val="9"/>
      <color rgb="FF000000"/>
      <name val="Chalet LondonNineteenSixty"/>
    </font>
    <font>
      <sz val="8"/>
      <color theme="0"/>
      <name val="Abadi"/>
      <family val="2"/>
    </font>
    <font>
      <sz val="8"/>
      <color theme="1"/>
      <name val="Abadi"/>
      <family val="2"/>
    </font>
    <font>
      <sz val="8"/>
      <color rgb="FF000000"/>
      <name val="Aptos Narrow"/>
      <family val="2"/>
      <scheme val="minor"/>
    </font>
    <font>
      <sz val="10"/>
      <name val="Abadi"/>
      <family val="2"/>
    </font>
    <font>
      <sz val="8"/>
      <color theme="1"/>
      <name val="Abadi"/>
      <family val="2"/>
    </font>
    <font>
      <sz val="9"/>
      <color rgb="FF000000"/>
      <name val="Times New Roman"/>
      <family val="1"/>
    </font>
    <font>
      <sz val="10"/>
      <color rgb="FF434343"/>
      <name val="Roboto"/>
    </font>
  </fonts>
  <fills count="17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F8F9FA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F8F9FA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325">
    <xf numFmtId="0" fontId="0" fillId="0" borderId="0" xfId="0"/>
    <xf numFmtId="0" fontId="3" fillId="0" borderId="1" xfId="0" applyFont="1" applyBorder="1" applyAlignment="1">
      <alignment horizontal="center"/>
    </xf>
    <xf numFmtId="0" fontId="5" fillId="3" borderId="1" xfId="0" applyFont="1" applyFill="1" applyBorder="1"/>
    <xf numFmtId="16" fontId="4" fillId="3" borderId="1" xfId="0" applyNumberFormat="1" applyFont="1" applyFill="1" applyBorder="1" applyAlignment="1">
      <alignment horizontal="center"/>
    </xf>
    <xf numFmtId="0" fontId="4" fillId="3" borderId="1" xfId="0" applyFont="1" applyFill="1" applyBorder="1"/>
    <xf numFmtId="0" fontId="4" fillId="0" borderId="1" xfId="0" applyFont="1" applyBorder="1"/>
    <xf numFmtId="16" fontId="4" fillId="0" borderId="1" xfId="0" applyNumberFormat="1" applyFont="1" applyBorder="1" applyAlignment="1">
      <alignment horizontal="center"/>
    </xf>
    <xf numFmtId="0" fontId="5" fillId="0" borderId="1" xfId="0" applyFont="1" applyBorder="1"/>
    <xf numFmtId="0" fontId="5" fillId="3" borderId="1" xfId="0" applyFont="1" applyFill="1" applyBorder="1" applyAlignment="1">
      <alignment wrapText="1"/>
    </xf>
    <xf numFmtId="0" fontId="4" fillId="3" borderId="1" xfId="0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7" fillId="2" borderId="2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left"/>
    </xf>
    <xf numFmtId="0" fontId="8" fillId="3" borderId="1" xfId="1" applyFont="1" applyFill="1" applyBorder="1" applyAlignment="1">
      <alignment vertical="center"/>
    </xf>
    <xf numFmtId="0" fontId="10" fillId="3" borderId="1" xfId="3" applyFont="1" applyFill="1" applyBorder="1" applyAlignment="1"/>
    <xf numFmtId="0" fontId="11" fillId="3" borderId="2" xfId="0" applyFont="1" applyFill="1" applyBorder="1"/>
    <xf numFmtId="0" fontId="11" fillId="3" borderId="1" xfId="0" applyFont="1" applyFill="1" applyBorder="1"/>
    <xf numFmtId="0" fontId="8" fillId="3" borderId="1" xfId="1" applyFont="1" applyFill="1" applyBorder="1"/>
    <xf numFmtId="0" fontId="11" fillId="0" borderId="0" xfId="0" applyFont="1"/>
    <xf numFmtId="0" fontId="11" fillId="3" borderId="0" xfId="0" applyFont="1" applyFill="1"/>
    <xf numFmtId="0" fontId="7" fillId="7" borderId="2" xfId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left" wrapText="1"/>
    </xf>
    <xf numFmtId="0" fontId="11" fillId="3" borderId="1" xfId="0" applyFont="1" applyFill="1" applyBorder="1" applyAlignment="1">
      <alignment horizontal="left"/>
    </xf>
    <xf numFmtId="0" fontId="8" fillId="3" borderId="0" xfId="1" applyFont="1" applyFill="1"/>
    <xf numFmtId="0" fontId="15" fillId="8" borderId="1" xfId="0" applyFont="1" applyFill="1" applyBorder="1" applyAlignment="1">
      <alignment horizontal="center" vertical="center" wrapText="1"/>
    </xf>
    <xf numFmtId="0" fontId="16" fillId="8" borderId="1" xfId="0" applyFont="1" applyFill="1" applyBorder="1" applyAlignment="1">
      <alignment horizontal="center" vertical="center" wrapText="1"/>
    </xf>
    <xf numFmtId="165" fontId="16" fillId="8" borderId="1" xfId="0" applyNumberFormat="1" applyFont="1" applyFill="1" applyBorder="1" applyAlignment="1">
      <alignment horizontal="center" vertical="center" wrapText="1"/>
    </xf>
    <xf numFmtId="164" fontId="16" fillId="9" borderId="1" xfId="2" applyFont="1" applyFill="1" applyBorder="1" applyAlignment="1">
      <alignment horizontal="center" vertical="center" wrapText="1"/>
    </xf>
    <xf numFmtId="0" fontId="8" fillId="3" borderId="4" xfId="1" applyFont="1" applyFill="1" applyBorder="1" applyAlignment="1">
      <alignment horizontal="left"/>
    </xf>
    <xf numFmtId="0" fontId="8" fillId="3" borderId="4" xfId="1" applyFont="1" applyFill="1" applyBorder="1" applyAlignment="1">
      <alignment vertical="center"/>
    </xf>
    <xf numFmtId="0" fontId="2" fillId="3" borderId="4" xfId="3" applyFill="1" applyBorder="1" applyAlignment="1"/>
    <xf numFmtId="0" fontId="2" fillId="3" borderId="4" xfId="3" applyFill="1" applyBorder="1" applyAlignment="1">
      <alignment vertical="center"/>
    </xf>
    <xf numFmtId="0" fontId="10" fillId="3" borderId="4" xfId="3" applyFont="1" applyFill="1" applyBorder="1" applyAlignment="1"/>
    <xf numFmtId="0" fontId="9" fillId="3" borderId="4" xfId="0" applyFont="1" applyFill="1" applyBorder="1" applyAlignment="1">
      <alignment horizontal="left" wrapText="1"/>
    </xf>
    <xf numFmtId="0" fontId="8" fillId="3" borderId="4" xfId="0" applyFont="1" applyFill="1" applyBorder="1" applyAlignment="1" applyProtection="1">
      <alignment horizontal="left"/>
      <protection locked="0"/>
    </xf>
    <xf numFmtId="0" fontId="11" fillId="3" borderId="4" xfId="0" applyFont="1" applyFill="1" applyBorder="1"/>
    <xf numFmtId="0" fontId="8" fillId="6" borderId="4" xfId="1" applyFont="1" applyFill="1" applyBorder="1" applyAlignment="1">
      <alignment vertical="center"/>
    </xf>
    <xf numFmtId="0" fontId="8" fillId="3" borderId="4" xfId="1" applyFont="1" applyFill="1" applyBorder="1"/>
    <xf numFmtId="0" fontId="2" fillId="3" borderId="4" xfId="3" applyFill="1" applyBorder="1"/>
    <xf numFmtId="0" fontId="2" fillId="0" borderId="4" xfId="3" applyBorder="1"/>
    <xf numFmtId="0" fontId="17" fillId="0" borderId="4" xfId="0" applyFont="1" applyBorder="1"/>
    <xf numFmtId="0" fontId="8" fillId="0" borderId="4" xfId="1" applyFont="1" applyBorder="1" applyAlignment="1">
      <alignment horizontal="left"/>
    </xf>
    <xf numFmtId="0" fontId="8" fillId="0" borderId="4" xfId="1" applyFont="1" applyBorder="1" applyAlignment="1">
      <alignment vertical="center"/>
    </xf>
    <xf numFmtId="0" fontId="2" fillId="0" borderId="4" xfId="3" applyFill="1" applyBorder="1"/>
    <xf numFmtId="0" fontId="2" fillId="0" borderId="4" xfId="3" applyFill="1" applyBorder="1" applyAlignment="1">
      <alignment vertical="center"/>
    </xf>
    <xf numFmtId="0" fontId="9" fillId="0" borderId="4" xfId="0" applyFont="1" applyBorder="1" applyAlignment="1">
      <alignment horizontal="left" wrapText="1"/>
    </xf>
    <xf numFmtId="0" fontId="8" fillId="0" borderId="4" xfId="0" applyFont="1" applyBorder="1" applyAlignment="1" applyProtection="1">
      <alignment horizontal="left"/>
      <protection locked="0"/>
    </xf>
    <xf numFmtId="0" fontId="11" fillId="0" borderId="4" xfId="0" applyFont="1" applyBorder="1"/>
    <xf numFmtId="0" fontId="11" fillId="3" borderId="4" xfId="0" applyFont="1" applyFill="1" applyBorder="1" applyAlignment="1">
      <alignment horizontal="left" vertical="top" wrapText="1"/>
    </xf>
    <xf numFmtId="0" fontId="11" fillId="3" borderId="4" xfId="0" applyFont="1" applyFill="1" applyBorder="1" applyAlignment="1">
      <alignment horizontal="left"/>
    </xf>
    <xf numFmtId="0" fontId="2" fillId="0" borderId="4" xfId="3" applyFill="1" applyBorder="1" applyAlignment="1"/>
    <xf numFmtId="0" fontId="10" fillId="0" borderId="4" xfId="3" applyFont="1" applyFill="1" applyBorder="1" applyAlignment="1"/>
    <xf numFmtId="0" fontId="11" fillId="0" borderId="4" xfId="0" applyFont="1" applyBorder="1" applyAlignment="1">
      <alignment horizontal="left"/>
    </xf>
    <xf numFmtId="0" fontId="11" fillId="0" borderId="4" xfId="0" applyFont="1" applyBorder="1" applyAlignment="1">
      <alignment horizontal="left" wrapText="1"/>
    </xf>
    <xf numFmtId="0" fontId="11" fillId="3" borderId="4" xfId="0" applyFont="1" applyFill="1" applyBorder="1" applyAlignment="1">
      <alignment horizontal="left" wrapText="1"/>
    </xf>
    <xf numFmtId="0" fontId="10" fillId="0" borderId="4" xfId="3" applyFont="1" applyBorder="1"/>
    <xf numFmtId="0" fontId="8" fillId="0" borderId="4" xfId="1" applyFont="1" applyBorder="1"/>
    <xf numFmtId="0" fontId="10" fillId="3" borderId="4" xfId="3" applyFont="1" applyFill="1" applyBorder="1"/>
    <xf numFmtId="0" fontId="11" fillId="0" borderId="4" xfId="0" applyFont="1" applyBorder="1" applyAlignment="1">
      <alignment wrapText="1"/>
    </xf>
    <xf numFmtId="0" fontId="10" fillId="0" borderId="4" xfId="3" applyFont="1" applyFill="1" applyBorder="1"/>
    <xf numFmtId="0" fontId="8" fillId="0" borderId="4" xfId="1" applyFont="1" applyBorder="1" applyAlignment="1">
      <alignment wrapText="1"/>
    </xf>
    <xf numFmtId="0" fontId="11" fillId="6" borderId="4" xfId="0" applyFont="1" applyFill="1" applyBorder="1"/>
    <xf numFmtId="0" fontId="10" fillId="3" borderId="4" xfId="3" applyFont="1" applyFill="1" applyBorder="1" applyAlignment="1">
      <alignment vertical="center"/>
    </xf>
    <xf numFmtId="0" fontId="11" fillId="3" borderId="4" xfId="0" applyFont="1" applyFill="1" applyBorder="1" applyAlignment="1">
      <alignment wrapText="1"/>
    </xf>
    <xf numFmtId="0" fontId="11" fillId="3" borderId="4" xfId="0" quotePrefix="1" applyFont="1" applyFill="1" applyBorder="1"/>
    <xf numFmtId="0" fontId="8" fillId="6" borderId="4" xfId="1" applyFont="1" applyFill="1" applyBorder="1" applyAlignment="1">
      <alignment horizontal="left"/>
    </xf>
    <xf numFmtId="0" fontId="6" fillId="2" borderId="3" xfId="1" applyFont="1" applyFill="1" applyBorder="1" applyAlignment="1">
      <alignment horizontal="center" vertical="center"/>
    </xf>
    <xf numFmtId="0" fontId="6" fillId="10" borderId="3" xfId="1" applyFont="1" applyFill="1" applyBorder="1" applyAlignment="1">
      <alignment horizontal="left" vertical="center"/>
    </xf>
    <xf numFmtId="0" fontId="7" fillId="2" borderId="3" xfId="1" applyFont="1" applyFill="1" applyBorder="1" applyAlignment="1">
      <alignment horizontal="center" vertical="center"/>
    </xf>
    <xf numFmtId="0" fontId="7" fillId="2" borderId="5" xfId="1" applyFont="1" applyFill="1" applyBorder="1" applyAlignment="1">
      <alignment horizontal="center" vertical="center"/>
    </xf>
    <xf numFmtId="0" fontId="7" fillId="7" borderId="5" xfId="1" applyFont="1" applyFill="1" applyBorder="1" applyAlignment="1">
      <alignment horizontal="center" vertical="center"/>
    </xf>
    <xf numFmtId="0" fontId="7" fillId="5" borderId="3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11" fillId="3" borderId="4" xfId="0" applyFont="1" applyFill="1" applyBorder="1" applyAlignment="1">
      <alignment horizontal="center"/>
    </xf>
    <xf numFmtId="0" fontId="19" fillId="3" borderId="4" xfId="1" applyFont="1" applyFill="1" applyBorder="1" applyAlignment="1">
      <alignment horizontal="left" wrapText="1"/>
    </xf>
    <xf numFmtId="0" fontId="8" fillId="3" borderId="4" xfId="1" applyFont="1" applyFill="1" applyBorder="1" applyAlignment="1">
      <alignment vertical="center" wrapText="1"/>
    </xf>
    <xf numFmtId="0" fontId="19" fillId="0" borderId="4" xfId="1" applyFont="1" applyBorder="1" applyAlignment="1">
      <alignment horizontal="left" wrapText="1"/>
    </xf>
    <xf numFmtId="0" fontId="8" fillId="0" borderId="4" xfId="1" applyFont="1" applyBorder="1" applyAlignment="1">
      <alignment horizontal="left" wrapText="1"/>
    </xf>
    <xf numFmtId="0" fontId="8" fillId="3" borderId="4" xfId="0" applyFont="1" applyFill="1" applyBorder="1" applyAlignment="1" applyProtection="1">
      <alignment horizontal="left" wrapText="1"/>
      <protection locked="0"/>
    </xf>
    <xf numFmtId="0" fontId="8" fillId="6" borderId="0" xfId="1" applyFont="1" applyFill="1" applyAlignment="1">
      <alignment vertical="center"/>
    </xf>
    <xf numFmtId="0" fontId="8" fillId="3" borderId="7" xfId="1" applyFont="1" applyFill="1" applyBorder="1"/>
    <xf numFmtId="0" fontId="8" fillId="3" borderId="7" xfId="1" applyFont="1" applyFill="1" applyBorder="1" applyAlignment="1">
      <alignment vertical="center"/>
    </xf>
    <xf numFmtId="0" fontId="2" fillId="3" borderId="7" xfId="3" applyFill="1" applyBorder="1" applyAlignment="1"/>
    <xf numFmtId="0" fontId="8" fillId="3" borderId="7" xfId="1" applyFont="1" applyFill="1" applyBorder="1" applyAlignment="1">
      <alignment horizontal="left"/>
    </xf>
    <xf numFmtId="0" fontId="10" fillId="3" borderId="7" xfId="3" applyFont="1" applyFill="1" applyBorder="1" applyAlignment="1"/>
    <xf numFmtId="0" fontId="11" fillId="3" borderId="7" xfId="0" applyFont="1" applyFill="1" applyBorder="1"/>
    <xf numFmtId="0" fontId="11" fillId="0" borderId="7" xfId="0" applyFont="1" applyBorder="1"/>
    <xf numFmtId="0" fontId="11" fillId="0" borderId="1" xfId="0" applyFont="1" applyBorder="1"/>
    <xf numFmtId="0" fontId="11" fillId="3" borderId="7" xfId="0" applyFont="1" applyFill="1" applyBorder="1" applyAlignment="1">
      <alignment horizontal="left" wrapText="1"/>
    </xf>
    <xf numFmtId="0" fontId="22" fillId="3" borderId="1" xfId="0" applyFont="1" applyFill="1" applyBorder="1" applyAlignment="1">
      <alignment vertical="center" wrapText="1"/>
    </xf>
    <xf numFmtId="0" fontId="23" fillId="3" borderId="1" xfId="0" applyFont="1" applyFill="1" applyBorder="1" applyAlignment="1">
      <alignment horizontal="center"/>
    </xf>
    <xf numFmtId="0" fontId="24" fillId="3" borderId="1" xfId="0" applyFont="1" applyFill="1" applyBorder="1" applyAlignment="1">
      <alignment horizontal="center"/>
    </xf>
    <xf numFmtId="166" fontId="23" fillId="3" borderId="1" xfId="0" applyNumberFormat="1" applyFont="1" applyFill="1" applyBorder="1" applyAlignment="1">
      <alignment horizontal="center"/>
    </xf>
    <xf numFmtId="165" fontId="25" fillId="0" borderId="1" xfId="0" applyNumberFormat="1" applyFont="1" applyBorder="1" applyAlignment="1">
      <alignment horizontal="center"/>
    </xf>
    <xf numFmtId="165" fontId="25" fillId="3" borderId="1" xfId="0" applyNumberFormat="1" applyFont="1" applyFill="1" applyBorder="1" applyAlignment="1">
      <alignment horizontal="center"/>
    </xf>
    <xf numFmtId="166" fontId="24" fillId="3" borderId="1" xfId="2" applyNumberFormat="1" applyFont="1" applyFill="1" applyBorder="1" applyAlignment="1">
      <alignment horizontal="center"/>
    </xf>
    <xf numFmtId="166" fontId="0" fillId="0" borderId="0" xfId="0" applyNumberFormat="1"/>
    <xf numFmtId="167" fontId="0" fillId="0" borderId="0" xfId="2" applyNumberFormat="1" applyFont="1"/>
    <xf numFmtId="167" fontId="14" fillId="0" borderId="0" xfId="2" applyNumberFormat="1" applyFont="1"/>
    <xf numFmtId="0" fontId="14" fillId="0" borderId="0" xfId="0" applyFont="1"/>
    <xf numFmtId="0" fontId="8" fillId="12" borderId="4" xfId="1" applyFont="1" applyFill="1" applyBorder="1" applyAlignment="1">
      <alignment vertical="center"/>
    </xf>
    <xf numFmtId="0" fontId="7" fillId="2" borderId="3" xfId="1" applyFont="1" applyFill="1" applyBorder="1" applyAlignment="1">
      <alignment horizontal="center" vertical="center" wrapText="1"/>
    </xf>
    <xf numFmtId="0" fontId="20" fillId="0" borderId="4" xfId="0" applyFont="1" applyBorder="1" applyAlignment="1">
      <alignment wrapText="1"/>
    </xf>
    <xf numFmtId="0" fontId="19" fillId="3" borderId="1" xfId="1" applyFont="1" applyFill="1" applyBorder="1" applyAlignment="1">
      <alignment horizontal="left" wrapText="1"/>
    </xf>
    <xf numFmtId="0" fontId="19" fillId="3" borderId="7" xfId="1" applyFont="1" applyFill="1" applyBorder="1" applyAlignment="1">
      <alignment horizontal="left" wrapText="1"/>
    </xf>
    <xf numFmtId="0" fontId="20" fillId="0" borderId="0" xfId="0" applyFont="1" applyAlignment="1">
      <alignment wrapText="1"/>
    </xf>
    <xf numFmtId="0" fontId="19" fillId="6" borderId="4" xfId="1" applyFont="1" applyFill="1" applyBorder="1" applyAlignment="1">
      <alignment horizontal="left" wrapText="1"/>
    </xf>
    <xf numFmtId="0" fontId="8" fillId="6" borderId="4" xfId="1" applyFont="1" applyFill="1" applyBorder="1"/>
    <xf numFmtId="0" fontId="8" fillId="13" borderId="4" xfId="0" applyFont="1" applyFill="1" applyBorder="1" applyAlignment="1">
      <alignment vertical="center"/>
    </xf>
    <xf numFmtId="0" fontId="8" fillId="0" borderId="4" xfId="0" applyFont="1" applyBorder="1" applyAlignment="1">
      <alignment vertical="center"/>
    </xf>
    <xf numFmtId="0" fontId="26" fillId="0" borderId="4" xfId="0" applyFont="1" applyBorder="1"/>
    <xf numFmtId="0" fontId="8" fillId="0" borderId="4" xfId="0" applyFont="1" applyBorder="1" applyAlignment="1">
      <alignment horizontal="left"/>
    </xf>
    <xf numFmtId="0" fontId="8" fillId="13" borderId="7" xfId="0" applyFont="1" applyFill="1" applyBorder="1" applyAlignment="1">
      <alignment vertical="center"/>
    </xf>
    <xf numFmtId="0" fontId="8" fillId="13" borderId="1" xfId="0" applyFont="1" applyFill="1" applyBorder="1" applyAlignment="1">
      <alignment vertical="center"/>
    </xf>
    <xf numFmtId="0" fontId="8" fillId="14" borderId="4" xfId="0" applyFont="1" applyFill="1" applyBorder="1" applyAlignment="1">
      <alignment vertical="center"/>
    </xf>
    <xf numFmtId="0" fontId="8" fillId="6" borderId="4" xfId="0" applyFont="1" applyFill="1" applyBorder="1" applyAlignment="1">
      <alignment vertical="center"/>
    </xf>
    <xf numFmtId="0" fontId="26" fillId="3" borderId="4" xfId="0" applyFont="1" applyFill="1" applyBorder="1"/>
    <xf numFmtId="0" fontId="2" fillId="6" borderId="4" xfId="3" applyFill="1" applyBorder="1" applyAlignment="1"/>
    <xf numFmtId="0" fontId="19" fillId="11" borderId="4" xfId="1" applyFont="1" applyFill="1" applyBorder="1" applyAlignment="1">
      <alignment horizontal="left" wrapText="1"/>
    </xf>
    <xf numFmtId="0" fontId="11" fillId="11" borderId="4" xfId="0" applyFont="1" applyFill="1" applyBorder="1" applyAlignment="1">
      <alignment horizontal="left" wrapText="1"/>
    </xf>
    <xf numFmtId="0" fontId="8" fillId="11" borderId="4" xfId="0" applyFont="1" applyFill="1" applyBorder="1" applyAlignment="1" applyProtection="1">
      <alignment horizontal="left"/>
      <protection locked="0"/>
    </xf>
    <xf numFmtId="0" fontId="8" fillId="11" borderId="4" xfId="0" applyFont="1" applyFill="1" applyBorder="1" applyAlignment="1" applyProtection="1">
      <alignment horizontal="left" wrapText="1"/>
      <protection locked="0"/>
    </xf>
    <xf numFmtId="0" fontId="2" fillId="11" borderId="4" xfId="3" applyFill="1" applyBorder="1" applyAlignment="1" applyProtection="1">
      <alignment horizontal="left"/>
      <protection locked="0"/>
    </xf>
    <xf numFmtId="0" fontId="2" fillId="11" borderId="4" xfId="3" applyFill="1" applyBorder="1" applyAlignment="1">
      <alignment vertical="center"/>
    </xf>
    <xf numFmtId="0" fontId="8" fillId="11" borderId="4" xfId="0" applyFont="1" applyFill="1" applyBorder="1" applyAlignment="1">
      <alignment vertical="center"/>
    </xf>
    <xf numFmtId="0" fontId="8" fillId="11" borderId="4" xfId="1" applyFont="1" applyFill="1" applyBorder="1" applyAlignment="1">
      <alignment vertical="center"/>
    </xf>
    <xf numFmtId="0" fontId="8" fillId="11" borderId="4" xfId="1" applyFont="1" applyFill="1" applyBorder="1" applyAlignment="1">
      <alignment horizontal="left"/>
    </xf>
    <xf numFmtId="0" fontId="8" fillId="11" borderId="4" xfId="1" applyFont="1" applyFill="1" applyBorder="1"/>
    <xf numFmtId="0" fontId="11" fillId="11" borderId="4" xfId="0" applyFont="1" applyFill="1" applyBorder="1"/>
    <xf numFmtId="0" fontId="2" fillId="11" borderId="4" xfId="3" applyFill="1" applyBorder="1" applyAlignment="1"/>
    <xf numFmtId="0" fontId="10" fillId="11" borderId="4" xfId="3" applyFont="1" applyFill="1" applyBorder="1"/>
    <xf numFmtId="0" fontId="6" fillId="2" borderId="3" xfId="1" applyFont="1" applyFill="1" applyBorder="1" applyAlignment="1">
      <alignment horizontal="center" vertical="center" wrapText="1"/>
    </xf>
    <xf numFmtId="0" fontId="8" fillId="11" borderId="4" xfId="1" applyFont="1" applyFill="1" applyBorder="1" applyAlignment="1">
      <alignment wrapText="1"/>
    </xf>
    <xf numFmtId="0" fontId="11" fillId="11" borderId="4" xfId="0" applyFont="1" applyFill="1" applyBorder="1" applyAlignment="1">
      <alignment horizontal="left"/>
    </xf>
    <xf numFmtId="0" fontId="10" fillId="11" borderId="4" xfId="3" applyFont="1" applyFill="1" applyBorder="1" applyAlignment="1"/>
    <xf numFmtId="0" fontId="2" fillId="11" borderId="0" xfId="3" applyFill="1"/>
    <xf numFmtId="0" fontId="27" fillId="11" borderId="0" xfId="0" applyFont="1" applyFill="1"/>
    <xf numFmtId="0" fontId="2" fillId="11" borderId="4" xfId="3" applyFill="1" applyBorder="1"/>
    <xf numFmtId="0" fontId="11" fillId="11" borderId="4" xfId="0" applyFont="1" applyFill="1" applyBorder="1" applyAlignment="1">
      <alignment wrapText="1"/>
    </xf>
    <xf numFmtId="0" fontId="2" fillId="11" borderId="4" xfId="3" applyFill="1" applyBorder="1" applyAlignment="1">
      <alignment wrapText="1"/>
    </xf>
    <xf numFmtId="0" fontId="26" fillId="11" borderId="4" xfId="0" applyFont="1" applyFill="1" applyBorder="1"/>
    <xf numFmtId="0" fontId="20" fillId="11" borderId="4" xfId="0" applyFont="1" applyFill="1" applyBorder="1" applyAlignment="1">
      <alignment wrapText="1"/>
    </xf>
    <xf numFmtId="0" fontId="10" fillId="11" borderId="6" xfId="3" applyFont="1" applyFill="1" applyBorder="1"/>
    <xf numFmtId="0" fontId="2" fillId="11" borderId="0" xfId="3" applyFill="1" applyAlignment="1">
      <alignment wrapText="1"/>
    </xf>
    <xf numFmtId="0" fontId="27" fillId="11" borderId="0" xfId="0" applyFont="1" applyFill="1" applyAlignment="1">
      <alignment wrapText="1"/>
    </xf>
    <xf numFmtId="0" fontId="8" fillId="11" borderId="4" xfId="0" applyFont="1" applyFill="1" applyBorder="1" applyAlignment="1">
      <alignment vertical="center" wrapText="1"/>
    </xf>
    <xf numFmtId="0" fontId="27" fillId="11" borderId="8" xfId="0" applyFont="1" applyFill="1" applyBorder="1" applyAlignment="1">
      <alignment readingOrder="1"/>
    </xf>
    <xf numFmtId="0" fontId="27" fillId="11" borderId="9" xfId="0" applyFont="1" applyFill="1" applyBorder="1" applyAlignment="1">
      <alignment readingOrder="1"/>
    </xf>
    <xf numFmtId="0" fontId="6" fillId="2" borderId="3" xfId="1" applyFont="1" applyFill="1" applyBorder="1" applyAlignment="1">
      <alignment horizontal="right" vertical="center"/>
    </xf>
    <xf numFmtId="0" fontId="8" fillId="3" borderId="4" xfId="1" applyFont="1" applyFill="1" applyBorder="1" applyAlignment="1">
      <alignment horizontal="right"/>
    </xf>
    <xf numFmtId="0" fontId="8" fillId="0" borderId="4" xfId="1" applyFont="1" applyBorder="1" applyAlignment="1">
      <alignment horizontal="right"/>
    </xf>
    <xf numFmtId="0" fontId="11" fillId="0" borderId="4" xfId="0" applyFont="1" applyBorder="1" applyAlignment="1">
      <alignment horizontal="right"/>
    </xf>
    <xf numFmtId="0" fontId="8" fillId="6" borderId="4" xfId="1" applyFont="1" applyFill="1" applyBorder="1" applyAlignment="1">
      <alignment horizontal="right"/>
    </xf>
    <xf numFmtId="0" fontId="8" fillId="3" borderId="4" xfId="1" applyFont="1" applyFill="1" applyBorder="1" applyAlignment="1">
      <alignment horizontal="right" vertical="center"/>
    </xf>
    <xf numFmtId="0" fontId="8" fillId="3" borderId="4" xfId="1" applyFont="1" applyFill="1" applyBorder="1" applyAlignment="1">
      <alignment horizontal="right" wrapText="1"/>
    </xf>
    <xf numFmtId="0" fontId="8" fillId="3" borderId="7" xfId="1" applyFont="1" applyFill="1" applyBorder="1" applyAlignment="1">
      <alignment horizontal="right"/>
    </xf>
    <xf numFmtId="0" fontId="8" fillId="3" borderId="1" xfId="1" applyFont="1" applyFill="1" applyBorder="1" applyAlignment="1">
      <alignment horizontal="right"/>
    </xf>
    <xf numFmtId="0" fontId="11" fillId="0" borderId="0" xfId="0" applyFont="1" applyAlignment="1">
      <alignment horizontal="right"/>
    </xf>
    <xf numFmtId="0" fontId="21" fillId="3" borderId="4" xfId="1" applyFont="1" applyFill="1" applyBorder="1" applyAlignment="1">
      <alignment horizontal="left" wrapText="1"/>
    </xf>
    <xf numFmtId="0" fontId="19" fillId="15" borderId="1" xfId="1" applyFont="1" applyFill="1" applyBorder="1" applyAlignment="1">
      <alignment horizontal="left" wrapText="1"/>
    </xf>
    <xf numFmtId="0" fontId="8" fillId="15" borderId="4" xfId="1" applyFont="1" applyFill="1" applyBorder="1"/>
    <xf numFmtId="0" fontId="2" fillId="15" borderId="0" xfId="3" applyFill="1"/>
    <xf numFmtId="0" fontId="27" fillId="15" borderId="0" xfId="0" applyFont="1" applyFill="1"/>
    <xf numFmtId="0" fontId="11" fillId="15" borderId="4" xfId="0" applyFont="1" applyFill="1" applyBorder="1"/>
    <xf numFmtId="0" fontId="8" fillId="15" borderId="4" xfId="0" applyFont="1" applyFill="1" applyBorder="1" applyAlignment="1">
      <alignment vertical="center"/>
    </xf>
    <xf numFmtId="0" fontId="8" fillId="15" borderId="0" xfId="1" applyFont="1" applyFill="1"/>
    <xf numFmtId="0" fontId="10" fillId="15" borderId="0" xfId="3" applyFont="1" applyFill="1" applyBorder="1" applyAlignment="1"/>
    <xf numFmtId="0" fontId="19" fillId="15" borderId="4" xfId="1" applyFont="1" applyFill="1" applyBorder="1" applyAlignment="1">
      <alignment horizontal="left" wrapText="1"/>
    </xf>
    <xf numFmtId="0" fontId="2" fillId="15" borderId="4" xfId="3" applyFill="1" applyBorder="1" applyAlignment="1"/>
    <xf numFmtId="0" fontId="10" fillId="15" borderId="4" xfId="3" applyFont="1" applyFill="1" applyBorder="1" applyAlignment="1"/>
    <xf numFmtId="0" fontId="21" fillId="11" borderId="4" xfId="0" applyFont="1" applyFill="1" applyBorder="1" applyAlignment="1">
      <alignment horizontal="left" vertical="center" wrapText="1"/>
    </xf>
    <xf numFmtId="0" fontId="11" fillId="11" borderId="4" xfId="0" applyFont="1" applyFill="1" applyBorder="1" applyAlignment="1">
      <alignment horizontal="left" vertical="top" wrapText="1"/>
    </xf>
    <xf numFmtId="0" fontId="9" fillId="11" borderId="4" xfId="0" applyFont="1" applyFill="1" applyBorder="1" applyAlignment="1">
      <alignment horizontal="left" wrapText="1"/>
    </xf>
    <xf numFmtId="0" fontId="19" fillId="11" borderId="1" xfId="1" applyFont="1" applyFill="1" applyBorder="1" applyAlignment="1">
      <alignment horizontal="left" wrapText="1"/>
    </xf>
    <xf numFmtId="0" fontId="8" fillId="11" borderId="1" xfId="1" applyFont="1" applyFill="1" applyBorder="1" applyAlignment="1">
      <alignment wrapText="1"/>
    </xf>
    <xf numFmtId="0" fontId="8" fillId="11" borderId="1" xfId="1" applyFont="1" applyFill="1" applyBorder="1"/>
    <xf numFmtId="0" fontId="11" fillId="11" borderId="1" xfId="0" applyFont="1" applyFill="1" applyBorder="1" applyAlignment="1">
      <alignment wrapText="1"/>
    </xf>
    <xf numFmtId="0" fontId="8" fillId="11" borderId="1" xfId="0" applyFont="1" applyFill="1" applyBorder="1" applyAlignment="1">
      <alignment vertical="center"/>
    </xf>
    <xf numFmtId="0" fontId="2" fillId="11" borderId="1" xfId="3" applyFill="1" applyBorder="1" applyAlignment="1"/>
    <xf numFmtId="49" fontId="28" fillId="3" borderId="1" xfId="0" applyNumberFormat="1" applyFont="1" applyFill="1" applyBorder="1" applyAlignment="1">
      <alignment vertical="top" wrapText="1"/>
    </xf>
    <xf numFmtId="0" fontId="29" fillId="0" borderId="0" xfId="0" applyFont="1"/>
    <xf numFmtId="0" fontId="28" fillId="3" borderId="1" xfId="0" applyFont="1" applyFill="1" applyBorder="1" applyAlignment="1">
      <alignment vertical="top" wrapText="1"/>
    </xf>
    <xf numFmtId="0" fontId="28" fillId="3" borderId="1" xfId="0" applyFont="1" applyFill="1" applyBorder="1"/>
    <xf numFmtId="49" fontId="0" fillId="3" borderId="1" xfId="0" applyNumberFormat="1" applyFill="1" applyBorder="1" applyAlignment="1">
      <alignment vertical="top" wrapText="1"/>
    </xf>
    <xf numFmtId="49" fontId="2" fillId="3" borderId="1" xfId="3" applyNumberFormat="1" applyFill="1" applyBorder="1" applyAlignment="1">
      <alignment vertical="top" wrapText="1"/>
    </xf>
    <xf numFmtId="0" fontId="11" fillId="11" borderId="4" xfId="0" quotePrefix="1" applyFont="1" applyFill="1" applyBorder="1" applyAlignment="1">
      <alignment wrapText="1"/>
    </xf>
    <xf numFmtId="0" fontId="2" fillId="11" borderId="6" xfId="3" applyFill="1" applyBorder="1" applyAlignment="1"/>
    <xf numFmtId="0" fontId="8" fillId="11" borderId="4" xfId="1" applyFont="1" applyFill="1" applyBorder="1" applyAlignment="1">
      <alignment horizontal="left" wrapText="1"/>
    </xf>
    <xf numFmtId="49" fontId="0" fillId="11" borderId="1" xfId="0" applyNumberFormat="1" applyFill="1" applyBorder="1" applyAlignment="1">
      <alignment vertical="top" wrapText="1"/>
    </xf>
    <xf numFmtId="0" fontId="26" fillId="11" borderId="4" xfId="0" applyFont="1" applyFill="1" applyBorder="1" applyAlignment="1">
      <alignment wrapText="1"/>
    </xf>
    <xf numFmtId="49" fontId="31" fillId="3" borderId="1" xfId="0" applyNumberFormat="1" applyFont="1" applyFill="1" applyBorder="1" applyAlignment="1">
      <alignment vertical="top" wrapText="1"/>
    </xf>
    <xf numFmtId="49" fontId="32" fillId="11" borderId="1" xfId="3" applyNumberFormat="1" applyFont="1" applyFill="1" applyBorder="1" applyAlignment="1">
      <alignment vertical="top" wrapText="1"/>
    </xf>
    <xf numFmtId="49" fontId="6" fillId="2" borderId="3" xfId="1" applyNumberFormat="1" applyFont="1" applyFill="1" applyBorder="1" applyAlignment="1">
      <alignment horizontal="center" vertical="center" wrapText="1"/>
    </xf>
    <xf numFmtId="0" fontId="33" fillId="0" borderId="0" xfId="0" applyFont="1"/>
    <xf numFmtId="49" fontId="8" fillId="6" borderId="4" xfId="1" applyNumberFormat="1" applyFont="1" applyFill="1" applyBorder="1" applyAlignment="1">
      <alignment vertical="center"/>
    </xf>
    <xf numFmtId="49" fontId="10" fillId="3" borderId="4" xfId="3" applyNumberFormat="1" applyFont="1" applyFill="1" applyBorder="1" applyAlignment="1"/>
    <xf numFmtId="49" fontId="2" fillId="11" borderId="4" xfId="3" applyNumberFormat="1" applyFill="1" applyBorder="1" applyAlignment="1">
      <alignment vertical="center"/>
    </xf>
    <xf numFmtId="49" fontId="2" fillId="3" borderId="4" xfId="3" applyNumberFormat="1" applyFill="1" applyBorder="1" applyAlignment="1">
      <alignment vertical="center"/>
    </xf>
    <xf numFmtId="49" fontId="8" fillId="3" borderId="4" xfId="1" applyNumberFormat="1" applyFont="1" applyFill="1" applyBorder="1" applyAlignment="1">
      <alignment vertical="center"/>
    </xf>
    <xf numFmtId="49" fontId="2" fillId="3" borderId="4" xfId="3" applyNumberFormat="1" applyFill="1" applyBorder="1" applyAlignment="1"/>
    <xf numFmtId="49" fontId="10" fillId="3" borderId="4" xfId="3" applyNumberFormat="1" applyFont="1" applyFill="1" applyBorder="1"/>
    <xf numFmtId="49" fontId="8" fillId="0" borderId="4" xfId="1" applyNumberFormat="1" applyFont="1" applyBorder="1" applyAlignment="1">
      <alignment vertical="center"/>
    </xf>
    <xf numFmtId="49" fontId="8" fillId="11" borderId="4" xfId="1" applyNumberFormat="1" applyFont="1" applyFill="1" applyBorder="1" applyAlignment="1">
      <alignment vertical="center"/>
    </xf>
    <xf numFmtId="49" fontId="11" fillId="0" borderId="4" xfId="0" applyNumberFormat="1" applyFont="1" applyBorder="1"/>
    <xf numFmtId="49" fontId="8" fillId="6" borderId="0" xfId="1" applyNumberFormat="1" applyFont="1" applyFill="1" applyAlignment="1">
      <alignment vertical="center"/>
    </xf>
    <xf numFmtId="49" fontId="2" fillId="3" borderId="4" xfId="3" applyNumberFormat="1" applyFill="1" applyBorder="1"/>
    <xf numFmtId="49" fontId="2" fillId="0" borderId="4" xfId="3" applyNumberFormat="1" applyBorder="1"/>
    <xf numFmtId="49" fontId="11" fillId="6" borderId="4" xfId="0" applyNumberFormat="1" applyFont="1" applyFill="1" applyBorder="1"/>
    <xf numFmtId="49" fontId="8" fillId="6" borderId="4" xfId="1" applyNumberFormat="1" applyFont="1" applyFill="1" applyBorder="1" applyAlignment="1">
      <alignment horizontal="left"/>
    </xf>
    <xf numFmtId="49" fontId="11" fillId="0" borderId="0" xfId="0" applyNumberFormat="1" applyFont="1"/>
    <xf numFmtId="49" fontId="8" fillId="3" borderId="4" xfId="1" applyNumberFormat="1" applyFont="1" applyFill="1" applyBorder="1"/>
    <xf numFmtId="49" fontId="27" fillId="11" borderId="0" xfId="0" applyNumberFormat="1" applyFont="1" applyFill="1"/>
    <xf numFmtId="49" fontId="27" fillId="15" borderId="0" xfId="0" applyNumberFormat="1" applyFont="1" applyFill="1"/>
    <xf numFmtId="49" fontId="10" fillId="11" borderId="4" xfId="3" applyNumberFormat="1" applyFont="1" applyFill="1" applyBorder="1" applyAlignment="1"/>
    <xf numFmtId="49" fontId="2" fillId="11" borderId="4" xfId="3" applyNumberFormat="1" applyFill="1" applyBorder="1" applyAlignment="1"/>
    <xf numFmtId="49" fontId="10" fillId="0" borderId="4" xfId="3" applyNumberFormat="1" applyFont="1" applyFill="1" applyBorder="1" applyAlignment="1"/>
    <xf numFmtId="49" fontId="2" fillId="3" borderId="4" xfId="3" applyNumberFormat="1" applyFill="1" applyBorder="1" applyAlignment="1">
      <alignment horizontal="center" wrapText="1"/>
    </xf>
    <xf numFmtId="49" fontId="10" fillId="11" borderId="4" xfId="3" applyNumberFormat="1" applyFont="1" applyFill="1" applyBorder="1" applyAlignment="1">
      <alignment horizontal="center" wrapText="1"/>
    </xf>
    <xf numFmtId="49" fontId="2" fillId="11" borderId="4" xfId="3" applyNumberFormat="1" applyFill="1" applyBorder="1" applyAlignment="1">
      <alignment horizontal="center" vertical="center" wrapText="1"/>
    </xf>
    <xf numFmtId="49" fontId="2" fillId="11" borderId="4" xfId="3" applyNumberFormat="1" applyFill="1" applyBorder="1" applyAlignment="1">
      <alignment horizontal="center" wrapText="1"/>
    </xf>
    <xf numFmtId="49" fontId="10" fillId="3" borderId="4" xfId="3" applyNumberFormat="1" applyFont="1" applyFill="1" applyBorder="1" applyAlignment="1">
      <alignment horizontal="center" wrapText="1"/>
    </xf>
    <xf numFmtId="49" fontId="2" fillId="0" borderId="4" xfId="3" applyNumberFormat="1" applyBorder="1" applyAlignment="1">
      <alignment horizontal="center" wrapText="1"/>
    </xf>
    <xf numFmtId="49" fontId="27" fillId="15" borderId="0" xfId="0" applyNumberFormat="1" applyFont="1" applyFill="1" applyAlignment="1">
      <alignment horizontal="center" wrapText="1"/>
    </xf>
    <xf numFmtId="49" fontId="10" fillId="0" borderId="4" xfId="3" applyNumberFormat="1" applyFont="1" applyFill="1" applyBorder="1" applyAlignment="1">
      <alignment horizontal="center" wrapText="1"/>
    </xf>
    <xf numFmtId="49" fontId="2" fillId="3" borderId="6" xfId="3" applyNumberFormat="1" applyFill="1" applyBorder="1" applyAlignment="1">
      <alignment horizontal="center" wrapText="1"/>
    </xf>
    <xf numFmtId="49" fontId="27" fillId="11" borderId="0" xfId="0" applyNumberFormat="1" applyFont="1" applyFill="1" applyAlignment="1">
      <alignment horizontal="center" wrapText="1"/>
    </xf>
    <xf numFmtId="49" fontId="2" fillId="3" borderId="4" xfId="3" applyNumberFormat="1" applyFill="1" applyBorder="1" applyAlignment="1">
      <alignment horizontal="center" vertical="center" wrapText="1"/>
    </xf>
    <xf numFmtId="49" fontId="10" fillId="3" borderId="1" xfId="3" applyNumberFormat="1" applyFont="1" applyFill="1" applyBorder="1" applyAlignment="1">
      <alignment horizontal="center" wrapText="1"/>
    </xf>
    <xf numFmtId="49" fontId="11" fillId="0" borderId="0" xfId="0" applyNumberFormat="1" applyFont="1" applyAlignment="1">
      <alignment horizontal="center" wrapText="1"/>
    </xf>
    <xf numFmtId="49" fontId="2" fillId="11" borderId="4" xfId="3" applyNumberFormat="1" applyFill="1" applyBorder="1" applyAlignment="1">
      <alignment horizontal="center"/>
    </xf>
    <xf numFmtId="49" fontId="2" fillId="0" borderId="4" xfId="3" applyNumberFormat="1" applyBorder="1" applyAlignment="1">
      <alignment horizontal="center"/>
    </xf>
    <xf numFmtId="0" fontId="34" fillId="3" borderId="4" xfId="3" applyFont="1" applyFill="1" applyBorder="1" applyAlignment="1"/>
    <xf numFmtId="0" fontId="36" fillId="3" borderId="4" xfId="1" applyFont="1" applyFill="1" applyBorder="1" applyAlignment="1">
      <alignment horizontal="left"/>
    </xf>
    <xf numFmtId="0" fontId="37" fillId="0" borderId="0" xfId="0" applyFont="1"/>
    <xf numFmtId="0" fontId="2" fillId="6" borderId="4" xfId="3" applyFill="1" applyBorder="1" applyAlignment="1">
      <alignment vertical="center"/>
    </xf>
    <xf numFmtId="0" fontId="38" fillId="0" borderId="0" xfId="0" applyFont="1"/>
    <xf numFmtId="0" fontId="2" fillId="0" borderId="0" xfId="3"/>
    <xf numFmtId="0" fontId="39" fillId="0" borderId="0" xfId="0" applyFont="1"/>
    <xf numFmtId="0" fontId="2" fillId="3" borderId="4" xfId="3" applyFill="1" applyBorder="1" applyAlignment="1">
      <alignment horizontal="center"/>
    </xf>
    <xf numFmtId="0" fontId="2" fillId="11" borderId="4" xfId="3" applyFill="1" applyBorder="1" applyAlignment="1">
      <alignment horizontal="center"/>
    </xf>
    <xf numFmtId="0" fontId="2" fillId="0" borderId="4" xfId="3" applyBorder="1" applyAlignment="1">
      <alignment horizontal="center"/>
    </xf>
    <xf numFmtId="0" fontId="2" fillId="0" borderId="4" xfId="3" applyFill="1" applyBorder="1" applyAlignment="1">
      <alignment horizontal="center"/>
    </xf>
    <xf numFmtId="49" fontId="35" fillId="3" borderId="4" xfId="3" applyNumberFormat="1" applyFont="1" applyFill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0" fillId="3" borderId="4" xfId="3" applyFont="1" applyFill="1" applyBorder="1" applyAlignment="1">
      <alignment horizontal="center"/>
    </xf>
    <xf numFmtId="0" fontId="10" fillId="0" borderId="4" xfId="3" applyFont="1" applyFill="1" applyBorder="1" applyAlignment="1">
      <alignment horizontal="center"/>
    </xf>
    <xf numFmtId="0" fontId="27" fillId="11" borderId="0" xfId="0" applyFont="1" applyFill="1" applyAlignment="1">
      <alignment horizontal="center"/>
    </xf>
    <xf numFmtId="0" fontId="10" fillId="11" borderId="4" xfId="3" applyFont="1" applyFill="1" applyBorder="1" applyAlignment="1">
      <alignment horizontal="center"/>
    </xf>
    <xf numFmtId="0" fontId="2" fillId="3" borderId="4" xfId="3" applyFill="1" applyBorder="1" applyAlignment="1">
      <alignment horizontal="center" vertical="center"/>
    </xf>
    <xf numFmtId="0" fontId="2" fillId="15" borderId="4" xfId="3" applyFill="1" applyBorder="1" applyAlignment="1">
      <alignment horizontal="center"/>
    </xf>
    <xf numFmtId="0" fontId="2" fillId="0" borderId="0" xfId="3" applyAlignment="1">
      <alignment horizontal="center"/>
    </xf>
    <xf numFmtId="0" fontId="2" fillId="3" borderId="7" xfId="3" applyFill="1" applyBorder="1" applyAlignment="1">
      <alignment horizontal="center"/>
    </xf>
    <xf numFmtId="0" fontId="2" fillId="3" borderId="1" xfId="3" applyFill="1" applyBorder="1" applyAlignment="1">
      <alignment horizontal="center"/>
    </xf>
    <xf numFmtId="0" fontId="30" fillId="3" borderId="4" xfId="1" applyFont="1" applyFill="1" applyBorder="1"/>
    <xf numFmtId="0" fontId="27" fillId="11" borderId="11" xfId="0" applyFont="1" applyFill="1" applyBorder="1" applyAlignment="1">
      <alignment readingOrder="1"/>
    </xf>
    <xf numFmtId="0" fontId="27" fillId="11" borderId="12" xfId="0" applyFont="1" applyFill="1" applyBorder="1" applyAlignment="1">
      <alignment readingOrder="1"/>
    </xf>
    <xf numFmtId="0" fontId="27" fillId="11" borderId="10" xfId="0" applyFont="1" applyFill="1" applyBorder="1" applyAlignment="1">
      <alignment wrapText="1" readingOrder="1"/>
    </xf>
    <xf numFmtId="0" fontId="27" fillId="11" borderId="9" xfId="0" quotePrefix="1" applyFont="1" applyFill="1" applyBorder="1" applyAlignment="1">
      <alignment readingOrder="1"/>
    </xf>
    <xf numFmtId="0" fontId="27" fillId="0" borderId="0" xfId="0" applyFont="1"/>
    <xf numFmtId="0" fontId="27" fillId="11" borderId="10" xfId="0" applyFont="1" applyFill="1" applyBorder="1" applyAlignment="1">
      <alignment readingOrder="1"/>
    </xf>
    <xf numFmtId="0" fontId="27" fillId="11" borderId="12" xfId="0" applyFont="1" applyFill="1" applyBorder="1" applyAlignment="1">
      <alignment wrapText="1" readingOrder="1"/>
    </xf>
    <xf numFmtId="0" fontId="2" fillId="3" borderId="1" xfId="3" applyFill="1" applyBorder="1" applyAlignment="1">
      <alignment vertical="top" wrapText="1"/>
    </xf>
    <xf numFmtId="0" fontId="1" fillId="3" borderId="1" xfId="0" applyFont="1" applyFill="1" applyBorder="1"/>
    <xf numFmtId="0" fontId="27" fillId="11" borderId="9" xfId="0" applyFont="1" applyFill="1" applyBorder="1" applyAlignment="1">
      <alignment horizontal="center" readingOrder="1"/>
    </xf>
    <xf numFmtId="49" fontId="2" fillId="11" borderId="1" xfId="3" applyNumberFormat="1" applyFill="1" applyBorder="1" applyAlignment="1">
      <alignment vertical="top" wrapText="1"/>
    </xf>
    <xf numFmtId="49" fontId="27" fillId="11" borderId="9" xfId="0" applyNumberFormat="1" applyFont="1" applyFill="1" applyBorder="1" applyAlignment="1">
      <alignment readingOrder="1"/>
    </xf>
    <xf numFmtId="0" fontId="27" fillId="11" borderId="9" xfId="0" quotePrefix="1" applyFont="1" applyFill="1" applyBorder="1" applyAlignment="1">
      <alignment horizontal="center" readingOrder="1"/>
    </xf>
    <xf numFmtId="49" fontId="27" fillId="11" borderId="9" xfId="0" quotePrefix="1" applyNumberFormat="1" applyFont="1" applyFill="1" applyBorder="1" applyAlignment="1">
      <alignment readingOrder="1"/>
    </xf>
    <xf numFmtId="0" fontId="11" fillId="15" borderId="4" xfId="0" applyFont="1" applyFill="1" applyBorder="1" applyAlignment="1">
      <alignment horizontal="left" wrapText="1"/>
    </xf>
    <xf numFmtId="0" fontId="8" fillId="0" borderId="7" xfId="1" applyFont="1" applyBorder="1" applyAlignment="1">
      <alignment vertical="center"/>
    </xf>
    <xf numFmtId="0" fontId="8" fillId="0" borderId="1" xfId="1" applyFont="1" applyBorder="1" applyAlignment="1">
      <alignment vertical="center"/>
    </xf>
    <xf numFmtId="49" fontId="8" fillId="0" borderId="1" xfId="1" applyNumberFormat="1" applyFont="1" applyBorder="1" applyAlignment="1">
      <alignment vertical="center"/>
    </xf>
    <xf numFmtId="0" fontId="2" fillId="11" borderId="4" xfId="3" applyFill="1" applyBorder="1" applyAlignment="1">
      <alignment horizontal="center" wrapText="1"/>
    </xf>
    <xf numFmtId="49" fontId="35" fillId="3" borderId="4" xfId="3" applyNumberFormat="1" applyFont="1" applyFill="1" applyBorder="1" applyAlignment="1">
      <alignment horizontal="center" wrapText="1"/>
    </xf>
    <xf numFmtId="0" fontId="41" fillId="16" borderId="3" xfId="1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top" wrapText="1"/>
    </xf>
    <xf numFmtId="0" fontId="42" fillId="3" borderId="4" xfId="0" applyFont="1" applyFill="1" applyBorder="1" applyAlignment="1">
      <alignment horizontal="center" vertical="top"/>
    </xf>
    <xf numFmtId="0" fontId="42" fillId="3" borderId="6" xfId="0" applyFont="1" applyFill="1" applyBorder="1" applyAlignment="1">
      <alignment horizontal="center" vertical="top" wrapText="1"/>
    </xf>
    <xf numFmtId="0" fontId="42" fillId="3" borderId="0" xfId="0" applyFont="1" applyFill="1" applyAlignment="1">
      <alignment horizontal="center" vertical="top"/>
    </xf>
    <xf numFmtId="0" fontId="42" fillId="0" borderId="4" xfId="0" applyFont="1" applyBorder="1" applyAlignment="1">
      <alignment horizontal="center" vertical="top" wrapText="1"/>
    </xf>
    <xf numFmtId="0" fontId="42" fillId="0" borderId="4" xfId="0" applyFont="1" applyBorder="1" applyAlignment="1">
      <alignment horizontal="center" vertical="top"/>
    </xf>
    <xf numFmtId="0" fontId="42" fillId="3" borderId="6" xfId="0" applyFont="1" applyFill="1" applyBorder="1" applyAlignment="1">
      <alignment horizontal="center" vertical="top"/>
    </xf>
    <xf numFmtId="0" fontId="42" fillId="3" borderId="0" xfId="0" applyFont="1" applyFill="1" applyAlignment="1">
      <alignment horizontal="center" vertical="top" wrapText="1"/>
    </xf>
    <xf numFmtId="0" fontId="42" fillId="0" borderId="6" xfId="0" applyFont="1" applyBorder="1" applyAlignment="1">
      <alignment horizontal="center" vertical="top"/>
    </xf>
    <xf numFmtId="0" fontId="42" fillId="0" borderId="7" xfId="0" applyFont="1" applyBorder="1" applyAlignment="1">
      <alignment horizontal="center" vertical="top"/>
    </xf>
    <xf numFmtId="0" fontId="42" fillId="0" borderId="1" xfId="0" applyFont="1" applyBorder="1" applyAlignment="1">
      <alignment horizontal="center" vertical="top"/>
    </xf>
    <xf numFmtId="0" fontId="42" fillId="0" borderId="0" xfId="0" applyFont="1" applyAlignment="1">
      <alignment horizontal="center"/>
    </xf>
    <xf numFmtId="0" fontId="42" fillId="0" borderId="4" xfId="0" applyFont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/>
    </xf>
    <xf numFmtId="16" fontId="42" fillId="3" borderId="4" xfId="0" applyNumberFormat="1" applyFont="1" applyFill="1" applyBorder="1" applyAlignment="1">
      <alignment horizontal="center" vertical="center"/>
    </xf>
    <xf numFmtId="16" fontId="42" fillId="0" borderId="4" xfId="0" applyNumberFormat="1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49" fontId="43" fillId="3" borderId="1" xfId="0" applyNumberFormat="1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/>
    </xf>
    <xf numFmtId="0" fontId="42" fillId="0" borderId="0" xfId="0" applyFont="1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0" fontId="44" fillId="3" borderId="4" xfId="1" applyFont="1" applyFill="1" applyBorder="1" applyAlignment="1">
      <alignment horizontal="left"/>
    </xf>
    <xf numFmtId="0" fontId="17" fillId="0" borderId="0" xfId="0" applyFont="1"/>
    <xf numFmtId="0" fontId="45" fillId="0" borderId="4" xfId="0" applyFont="1" applyBorder="1" applyAlignment="1">
      <alignment horizontal="center" vertical="center" wrapText="1"/>
    </xf>
    <xf numFmtId="16" fontId="45" fillId="0" borderId="4" xfId="0" applyNumberFormat="1" applyFont="1" applyBorder="1" applyAlignment="1">
      <alignment horizontal="center" vertical="center"/>
    </xf>
    <xf numFmtId="0" fontId="45" fillId="0" borderId="4" xfId="0" applyFont="1" applyBorder="1" applyAlignment="1">
      <alignment horizontal="center" vertical="center"/>
    </xf>
    <xf numFmtId="0" fontId="47" fillId="11" borderId="0" xfId="0" applyFont="1" applyFill="1"/>
    <xf numFmtId="0" fontId="2" fillId="11" borderId="12" xfId="3" applyFill="1" applyBorder="1" applyAlignment="1">
      <alignment readingOrder="1"/>
    </xf>
    <xf numFmtId="0" fontId="2" fillId="11" borderId="10" xfId="3" applyFill="1" applyBorder="1" applyAlignment="1">
      <alignment readingOrder="1"/>
    </xf>
    <xf numFmtId="0" fontId="47" fillId="11" borderId="11" xfId="0" applyFont="1" applyFill="1" applyBorder="1" applyAlignment="1">
      <alignment readingOrder="1"/>
    </xf>
    <xf numFmtId="0" fontId="47" fillId="11" borderId="12" xfId="0" applyFont="1" applyFill="1" applyBorder="1" applyAlignment="1">
      <alignment readingOrder="1"/>
    </xf>
    <xf numFmtId="0" fontId="47" fillId="11" borderId="9" xfId="0" applyFont="1" applyFill="1" applyBorder="1" applyAlignment="1">
      <alignment readingOrder="1"/>
    </xf>
    <xf numFmtId="0" fontId="47" fillId="11" borderId="8" xfId="0" applyFont="1" applyFill="1" applyBorder="1" applyAlignment="1">
      <alignment readingOrder="1"/>
    </xf>
    <xf numFmtId="0" fontId="47" fillId="11" borderId="10" xfId="0" applyFont="1" applyFill="1" applyBorder="1" applyAlignment="1">
      <alignment readingOrder="1"/>
    </xf>
    <xf numFmtId="0" fontId="44" fillId="0" borderId="4" xfId="1" applyFont="1" applyBorder="1" applyAlignment="1">
      <alignment vertical="center"/>
    </xf>
    <xf numFmtId="0" fontId="8" fillId="3" borderId="4" xfId="1" applyFont="1" applyFill="1" applyBorder="1" applyAlignment="1">
      <alignment wrapText="1"/>
    </xf>
    <xf numFmtId="0" fontId="47" fillId="11" borderId="12" xfId="0" applyFont="1" applyFill="1" applyBorder="1" applyAlignment="1">
      <alignment wrapText="1" readingOrder="1"/>
    </xf>
    <xf numFmtId="0" fontId="47" fillId="11" borderId="9" xfId="0" applyFont="1" applyFill="1" applyBorder="1" applyAlignment="1">
      <alignment wrapText="1" readingOrder="1"/>
    </xf>
    <xf numFmtId="0" fontId="0" fillId="11" borderId="0" xfId="0" applyFill="1"/>
    <xf numFmtId="49" fontId="35" fillId="11" borderId="4" xfId="3" applyNumberFormat="1" applyFont="1" applyFill="1" applyBorder="1" applyAlignment="1">
      <alignment horizontal="center" wrapText="1"/>
    </xf>
    <xf numFmtId="0" fontId="11" fillId="11" borderId="4" xfId="0" quotePrefix="1" applyFont="1" applyFill="1" applyBorder="1"/>
    <xf numFmtId="0" fontId="42" fillId="0" borderId="6" xfId="0" applyFont="1" applyBorder="1" applyAlignment="1">
      <alignment horizontal="center" vertical="top" wrapText="1"/>
    </xf>
    <xf numFmtId="0" fontId="18" fillId="0" borderId="4" xfId="0" applyFont="1" applyBorder="1" applyAlignment="1">
      <alignment vertical="center" wrapText="1"/>
    </xf>
    <xf numFmtId="0" fontId="8" fillId="3" borderId="0" xfId="1" applyFont="1" applyFill="1" applyAlignment="1">
      <alignment vertical="center"/>
    </xf>
    <xf numFmtId="0" fontId="3" fillId="4" borderId="1" xfId="0" applyFont="1" applyFill="1" applyBorder="1" applyAlignment="1">
      <alignment horizontal="center"/>
    </xf>
    <xf numFmtId="0" fontId="22" fillId="13" borderId="1" xfId="0" applyFont="1" applyFill="1" applyBorder="1" applyAlignment="1">
      <alignment vertical="center" wrapText="1"/>
    </xf>
    <xf numFmtId="0" fontId="43" fillId="13" borderId="1" xfId="0" applyFont="1" applyFill="1" applyBorder="1" applyAlignment="1">
      <alignment horizontal="center"/>
    </xf>
  </cellXfs>
  <cellStyles count="4">
    <cellStyle name="Hipervínculo" xfId="3" builtinId="8"/>
    <cellStyle name="Moneda" xfId="2" builtinId="4"/>
    <cellStyle name="Normal" xfId="0" builtinId="0"/>
    <cellStyle name="Normal 2" xfId="1" xr:uid="{0BD0ECEB-A91B-40E9-8A59-D946F2A3AA9A}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SUM ALSUM" id="{88A0DCD2-5E19-403F-A04E-F8F923676D23}" userId="0144e8e16aecdf9b" providerId="Windows Liv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59" dT="2025-11-20T16:16:57.15" personId="{88A0DCD2-5E19-403F-A04E-F8F923676D23}" id="{426A0EC9-67E1-4963-A597-AF62A5928FA3}">
    <text>Intermediario de seguros
Corredores de reaseguro</text>
  </threadedComment>
  <threadedComment ref="A105" dT="2025-11-20T16:36:34.36" personId="{88A0DCD2-5E19-403F-A04E-F8F923676D23}" id="{B0EE6CD7-C55F-4010-9AE0-0DBFFC500054}">
    <text>Cambiar nombre</text>
  </threadedComment>
</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&#160;grodriguez@americalre.com" TargetMode="External"/><Relationship Id="rId21" Type="http://schemas.openxmlformats.org/officeDocument/2006/relationships/hyperlink" Target="mailto:apernett@sunlightsolutions.com" TargetMode="External"/><Relationship Id="rId63" Type="http://schemas.openxmlformats.org/officeDocument/2006/relationships/hyperlink" Target="mailto:veronica.romo@crestrb.com" TargetMode="External"/><Relationship Id="rId159" Type="http://schemas.openxmlformats.org/officeDocument/2006/relationships/hyperlink" Target="mailto:lerodriguez@bse.com.uy" TargetMode="External"/><Relationship Id="rId170" Type="http://schemas.openxmlformats.org/officeDocument/2006/relationships/hyperlink" Target="mailto:ecollado@humano.com.do" TargetMode="External"/><Relationship Id="rId226" Type="http://schemas.openxmlformats.org/officeDocument/2006/relationships/hyperlink" Target="http://www.iseguros.com/" TargetMode="External"/><Relationship Id="rId268" Type="http://schemas.openxmlformats.org/officeDocument/2006/relationships/hyperlink" Target="mailto:paulina.pinto@bciseguros.com" TargetMode="External"/><Relationship Id="rId32" Type="http://schemas.openxmlformats.org/officeDocument/2006/relationships/hyperlink" Target="mailto:marketing@basagentes.mx" TargetMode="External"/><Relationship Id="rId74" Type="http://schemas.openxmlformats.org/officeDocument/2006/relationships/hyperlink" Target="mailto:mdisario@reunionre.com.ar" TargetMode="External"/><Relationship Id="rId128" Type="http://schemas.openxmlformats.org/officeDocument/2006/relationships/hyperlink" Target="mailto:andres.rodriguez@eltransporte.org" TargetMode="External"/><Relationship Id="rId5" Type="http://schemas.openxmlformats.org/officeDocument/2006/relationships/hyperlink" Target="mailto:mclg@mclg.adv.br" TargetMode="External"/><Relationship Id="rId181" Type="http://schemas.openxmlformats.org/officeDocument/2006/relationships/hyperlink" Target="mailto:felipe.collarte@gibbs.cl" TargetMode="External"/><Relationship Id="rId237" Type="http://schemas.openxmlformats.org/officeDocument/2006/relationships/hyperlink" Target="https://www.jahinsurance.com/" TargetMode="External"/><Relationship Id="rId279" Type="http://schemas.openxmlformats.org/officeDocument/2006/relationships/hyperlink" Target="mailto:pablo.quintero@nacora.com" TargetMode="External"/><Relationship Id="rId43" Type="http://schemas.openxmlformats.org/officeDocument/2006/relationships/hyperlink" Target="mailto:JJAQUE@ABACOADJUSTERS.COM" TargetMode="External"/><Relationship Id="rId139" Type="http://schemas.openxmlformats.org/officeDocument/2006/relationships/hyperlink" Target="mailto:omarcruz@sisugrb.com" TargetMode="External"/><Relationship Id="rId290" Type="http://schemas.openxmlformats.org/officeDocument/2006/relationships/hyperlink" Target="https://www.marconsult.net/" TargetMode="External"/><Relationship Id="rId85" Type="http://schemas.openxmlformats.org/officeDocument/2006/relationships/hyperlink" Target="mailto:cperalta@herdkp.com.pe" TargetMode="External"/><Relationship Id="rId150" Type="http://schemas.openxmlformats.org/officeDocument/2006/relationships/hyperlink" Target="mailto:esteban@estudiovivanco.com" TargetMode="External"/><Relationship Id="rId192" Type="http://schemas.openxmlformats.org/officeDocument/2006/relationships/hyperlink" Target="mailto:gbeilinson@vaistech.io" TargetMode="External"/><Relationship Id="rId206" Type="http://schemas.openxmlformats.org/officeDocument/2006/relationships/hyperlink" Target="mailto:gorts@helixmarine.es" TargetMode="External"/><Relationship Id="rId248" Type="http://schemas.openxmlformats.org/officeDocument/2006/relationships/hyperlink" Target="https://qbeim.com/" TargetMode="External"/><Relationship Id="rId12" Type="http://schemas.openxmlformats.org/officeDocument/2006/relationships/hyperlink" Target="mailto:mariafernanda_alonso@swissre.com" TargetMode="External"/><Relationship Id="rId33" Type="http://schemas.openxmlformats.org/officeDocument/2006/relationships/hyperlink" Target="mailto:ceo@bascargoi.com%20/jc.benavides@basagentes.mx(no%20enviar%20a%20este)%20s&#243;lo%20al%20de%20CEO" TargetMode="External"/><Relationship Id="rId108" Type="http://schemas.openxmlformats.org/officeDocument/2006/relationships/hyperlink" Target="mailto:edward.benavides@carpentermarsh.com" TargetMode="External"/><Relationship Id="rId129" Type="http://schemas.openxmlformats.org/officeDocument/2006/relationships/hyperlink" Target="mailto:diego.calderon@starrcompanies.com" TargetMode="External"/><Relationship Id="rId280" Type="http://schemas.openxmlformats.org/officeDocument/2006/relationships/hyperlink" Target="mailto:Jmontt@monttliquidadores.cl" TargetMode="External"/><Relationship Id="rId54" Type="http://schemas.openxmlformats.org/officeDocument/2006/relationships/hyperlink" Target="mailto:liliana.gonzalez@sbseguros.co" TargetMode="External"/><Relationship Id="rId75" Type="http://schemas.openxmlformats.org/officeDocument/2006/relationships/hyperlink" Target="mailto:pcaceres@pacifico.com.pe" TargetMode="External"/><Relationship Id="rId96" Type="http://schemas.openxmlformats.org/officeDocument/2006/relationships/hyperlink" Target="tel:600%20692%208000" TargetMode="External"/><Relationship Id="rId140" Type="http://schemas.openxmlformats.org/officeDocument/2006/relationships/hyperlink" Target="mailto:MARITIMO@murimar.com" TargetMode="External"/><Relationship Id="rId161" Type="http://schemas.openxmlformats.org/officeDocument/2006/relationships/hyperlink" Target="mailto:jmcontrera@laholando.com" TargetMode="External"/><Relationship Id="rId182" Type="http://schemas.openxmlformats.org/officeDocument/2006/relationships/hyperlink" Target="mailto:drisopatron@gibbs.cl" TargetMode="External"/><Relationship Id="rId217" Type="http://schemas.openxmlformats.org/officeDocument/2006/relationships/hyperlink" Target="mailto:samantha.gallardo@redna.mx" TargetMode="External"/><Relationship Id="rId6" Type="http://schemas.openxmlformats.org/officeDocument/2006/relationships/hyperlink" Target="mailto:mclg@mclg.adv.br" TargetMode="External"/><Relationship Id="rId238" Type="http://schemas.openxmlformats.org/officeDocument/2006/relationships/hyperlink" Target="https://www.adrianagrillo.com/" TargetMode="External"/><Relationship Id="rId259" Type="http://schemas.openxmlformats.org/officeDocument/2006/relationships/hyperlink" Target="https://atlanticrebrokers.com/" TargetMode="External"/><Relationship Id="rId23" Type="http://schemas.openxmlformats.org/officeDocument/2006/relationships/hyperlink" Target="mailto:arodriguez@probitas.cl" TargetMode="External"/><Relationship Id="rId119" Type="http://schemas.openxmlformats.org/officeDocument/2006/relationships/hyperlink" Target="mailto:Leonardo.Garzon@mclarens.com" TargetMode="External"/><Relationship Id="rId270" Type="http://schemas.openxmlformats.org/officeDocument/2006/relationships/hyperlink" Target="mailto:dsantamaria@transre.com" TargetMode="External"/><Relationship Id="rId291" Type="http://schemas.openxmlformats.org/officeDocument/2006/relationships/hyperlink" Target="https://www.previsora.gov.co/" TargetMode="External"/><Relationship Id="rId44" Type="http://schemas.openxmlformats.org/officeDocument/2006/relationships/hyperlink" Target="mailto:esuarez@abacoadjusters.com/%20INFO@ABACOADJUSTERS.COM" TargetMode="External"/><Relationship Id="rId65" Type="http://schemas.openxmlformats.org/officeDocument/2006/relationships/hyperlink" Target="mailto:.@ertemrivero.com" TargetMode="External"/><Relationship Id="rId86" Type="http://schemas.openxmlformats.org/officeDocument/2006/relationships/hyperlink" Target="mailto:rreal@helixmarine.es" TargetMode="External"/><Relationship Id="rId130" Type="http://schemas.openxmlformats.org/officeDocument/2006/relationships/hyperlink" Target="mailto:Efrain.sora@thehartford.com" TargetMode="External"/><Relationship Id="rId151" Type="http://schemas.openxmlformats.org/officeDocument/2006/relationships/hyperlink" Target="mailto:cdelrio@saint-clement.com" TargetMode="External"/><Relationship Id="rId172" Type="http://schemas.openxmlformats.org/officeDocument/2006/relationships/hyperlink" Target="mailto:marisol.jaime@ajudec.com" TargetMode="External"/><Relationship Id="rId193" Type="http://schemas.openxmlformats.org/officeDocument/2006/relationships/hyperlink" Target="mailto:jorge.cruz@atlanticrebrokers.com" TargetMode="External"/><Relationship Id="rId207" Type="http://schemas.openxmlformats.org/officeDocument/2006/relationships/hyperlink" Target="https://www.maiolegal.com/" TargetMode="External"/><Relationship Id="rId228" Type="http://schemas.openxmlformats.org/officeDocument/2006/relationships/hyperlink" Target="http://www.galiciaseguros.com.ar/" TargetMode="External"/><Relationship Id="rId249" Type="http://schemas.openxmlformats.org/officeDocument/2006/relationships/hyperlink" Target="http://www.stowmarineservices.com/" TargetMode="External"/><Relationship Id="rId13" Type="http://schemas.openxmlformats.org/officeDocument/2006/relationships/hyperlink" Target="mailto:julio@lima-re.com" TargetMode="External"/><Relationship Id="rId109" Type="http://schemas.openxmlformats.org/officeDocument/2006/relationships/hyperlink" Target="mailto:olivia.beatriz@logrisk.com.mx" TargetMode="External"/><Relationship Id="rId260" Type="http://schemas.openxmlformats.org/officeDocument/2006/relationships/hyperlink" Target="mailto:argentina@barbuss.com" TargetMode="External"/><Relationship Id="rId281" Type="http://schemas.openxmlformats.org/officeDocument/2006/relationships/hyperlink" Target="mailto:ezunino@vican.com.uy" TargetMode="External"/><Relationship Id="rId34" Type="http://schemas.openxmlformats.org/officeDocument/2006/relationships/hyperlink" Target="mailto:ngarcia@avla.com" TargetMode="External"/><Relationship Id="rId55" Type="http://schemas.openxmlformats.org/officeDocument/2006/relationships/hyperlink" Target="mailto:esantos@universal.com.do" TargetMode="External"/><Relationship Id="rId76" Type="http://schemas.openxmlformats.org/officeDocument/2006/relationships/hyperlink" Target="mailto:HCabral@munichre.com" TargetMode="External"/><Relationship Id="rId97" Type="http://schemas.openxmlformats.org/officeDocument/2006/relationships/hyperlink" Target="tel:914925913" TargetMode="External"/><Relationship Id="rId120" Type="http://schemas.openxmlformats.org/officeDocument/2006/relationships/hyperlink" Target="mailto:guillermo.sparks@mclarens.com" TargetMode="External"/><Relationship Id="rId141" Type="http://schemas.openxmlformats.org/officeDocument/2006/relationships/hyperlink" Target="mailto:jsanchez@gruponuno.com" TargetMode="External"/><Relationship Id="rId7" Type="http://schemas.openxmlformats.org/officeDocument/2006/relationships/hyperlink" Target="mailto:carolina@boleasaez.com" TargetMode="External"/><Relationship Id="rId162" Type="http://schemas.openxmlformats.org/officeDocument/2006/relationships/hyperlink" Target="mailto:jorge.jockens@tbsmexico.com.mx" TargetMode="External"/><Relationship Id="rId183" Type="http://schemas.openxmlformats.org/officeDocument/2006/relationships/hyperlink" Target="mailto:erubio@jjhasa.com" TargetMode="External"/><Relationship Id="rId218" Type="http://schemas.openxmlformats.org/officeDocument/2006/relationships/hyperlink" Target="https://www.opa-crawford.com/" TargetMode="External"/><Relationship Id="rId239" Type="http://schemas.openxmlformats.org/officeDocument/2006/relationships/hyperlink" Target="http://www.charterama.com/" TargetMode="External"/><Relationship Id="rId250" Type="http://schemas.openxmlformats.org/officeDocument/2006/relationships/hyperlink" Target="http://www.abacoadjusters.com/" TargetMode="External"/><Relationship Id="rId271" Type="http://schemas.openxmlformats.org/officeDocument/2006/relationships/hyperlink" Target="mailto:jose.rodriguez@ros.com.do" TargetMode="External"/><Relationship Id="rId292" Type="http://schemas.openxmlformats.org/officeDocument/2006/relationships/hyperlink" Target="mailto:erubio@jjhasa.com" TargetMode="External"/><Relationship Id="rId24" Type="http://schemas.openxmlformats.org/officeDocument/2006/relationships/hyperlink" Target="mailto:jgonzalez@probitas.cl" TargetMode="External"/><Relationship Id="rId45" Type="http://schemas.openxmlformats.org/officeDocument/2006/relationships/hyperlink" Target="mailto:aseminario@avla.com" TargetMode="External"/><Relationship Id="rId66" Type="http://schemas.openxmlformats.org/officeDocument/2006/relationships/hyperlink" Target="http://bse.com.uy/" TargetMode="External"/><Relationship Id="rId87" Type="http://schemas.openxmlformats.org/officeDocument/2006/relationships/hyperlink" Target="mailto:jverdaguer@galiciaseguros.com.ar" TargetMode="External"/><Relationship Id="rId110" Type="http://schemas.openxmlformats.org/officeDocument/2006/relationships/hyperlink" Target="mailto:berny.mejias@mnkseguros.com" TargetMode="External"/><Relationship Id="rId131" Type="http://schemas.openxmlformats.org/officeDocument/2006/relationships/hyperlink" Target="mailto:jcprieto@cogentinternational.co" TargetMode="External"/><Relationship Id="rId152" Type="http://schemas.openxmlformats.org/officeDocument/2006/relationships/hyperlink" Target="mailto:maria.chanona@gnp.com.mx" TargetMode="External"/><Relationship Id="rId173" Type="http://schemas.openxmlformats.org/officeDocument/2006/relationships/hyperlink" Target="mailto:patricio.quimuna@ajudec.com" TargetMode="External"/><Relationship Id="rId194" Type="http://schemas.openxmlformats.org/officeDocument/2006/relationships/hyperlink" Target="mailto:mcostabal@equos.cl" TargetMode="External"/><Relationship Id="rId208" Type="http://schemas.openxmlformats.org/officeDocument/2006/relationships/hyperlink" Target="mailto:avallejo@maiolegal.com" TargetMode="External"/><Relationship Id="rId229" Type="http://schemas.openxmlformats.org/officeDocument/2006/relationships/hyperlink" Target="https://www.segurosuniversal.com.do/" TargetMode="External"/><Relationship Id="rId240" Type="http://schemas.openxmlformats.org/officeDocument/2006/relationships/hyperlink" Target="http://www.gruponuno.com/" TargetMode="External"/><Relationship Id="rId261" Type="http://schemas.openxmlformats.org/officeDocument/2006/relationships/hyperlink" Target="http://www.baalnak.com/" TargetMode="External"/><Relationship Id="rId14" Type="http://schemas.openxmlformats.org/officeDocument/2006/relationships/hyperlink" Target="mailto:FredyHenr&#237;quez@priceforbes.com" TargetMode="External"/><Relationship Id="rId35" Type="http://schemas.openxmlformats.org/officeDocument/2006/relationships/hyperlink" Target="mailto:natalia.ramirez@underwritingpandisa.com" TargetMode="External"/><Relationship Id="rId56" Type="http://schemas.openxmlformats.org/officeDocument/2006/relationships/hyperlink" Target="mailto:AlfredoJose.Kohel@charlestaylor.com" TargetMode="External"/><Relationship Id="rId77" Type="http://schemas.openxmlformats.org/officeDocument/2006/relationships/hyperlink" Target="mailto:msamlin@underwritingpandisa.com" TargetMode="External"/><Relationship Id="rId100" Type="http://schemas.openxmlformats.org/officeDocument/2006/relationships/hyperlink" Target="mailto:rmiqueo@forteuw.com" TargetMode="External"/><Relationship Id="rId282" Type="http://schemas.openxmlformats.org/officeDocument/2006/relationships/hyperlink" Target="mailto:angel.gallardo@redna.mx" TargetMode="External"/><Relationship Id="rId8" Type="http://schemas.openxmlformats.org/officeDocument/2006/relationships/hyperlink" Target="mailto:marcela@boleasaez.com" TargetMode="External"/><Relationship Id="rId98" Type="http://schemas.openxmlformats.org/officeDocument/2006/relationships/hyperlink" Target="mailto:ruben.chanona@axa.com.mx" TargetMode="External"/><Relationship Id="rId121" Type="http://schemas.openxmlformats.org/officeDocument/2006/relationships/hyperlink" Target="mailto:Diego.maira@andestool.com" TargetMode="External"/><Relationship Id="rId142" Type="http://schemas.openxmlformats.org/officeDocument/2006/relationships/hyperlink" Target="mailto:jfranco@francoabogados.com.co" TargetMode="External"/><Relationship Id="rId163" Type="http://schemas.openxmlformats.org/officeDocument/2006/relationships/hyperlink" Target="mailto:maria.monferini@barbuss.com" TargetMode="External"/><Relationship Id="rId184" Type="http://schemas.openxmlformats.org/officeDocument/2006/relationships/hyperlink" Target="mailto:jhasa@jjhasa.com" TargetMode="External"/><Relationship Id="rId219" Type="http://schemas.openxmlformats.org/officeDocument/2006/relationships/hyperlink" Target="mailto:jvalle@opa-crawford.com" TargetMode="External"/><Relationship Id="rId230" Type="http://schemas.openxmlformats.org/officeDocument/2006/relationships/hyperlink" Target="http://www.hdi.com.mx/" TargetMode="External"/><Relationship Id="rId251" Type="http://schemas.openxmlformats.org/officeDocument/2006/relationships/hyperlink" Target="http://www.vican.com.uy/" TargetMode="External"/><Relationship Id="rId25" Type="http://schemas.openxmlformats.org/officeDocument/2006/relationships/hyperlink" Target="mailto:pedro.sbecerra@praam.com.mx" TargetMode="External"/><Relationship Id="rId46" Type="http://schemas.openxmlformats.org/officeDocument/2006/relationships/hyperlink" Target="mailto:aseminario@avla.com" TargetMode="External"/><Relationship Id="rId67" Type="http://schemas.openxmlformats.org/officeDocument/2006/relationships/hyperlink" Target="mailto:aida.avila1@mx.zurich.com" TargetMode="External"/><Relationship Id="rId272" Type="http://schemas.openxmlformats.org/officeDocument/2006/relationships/hyperlink" Target="https://francoabogados.com.co/" TargetMode="External"/><Relationship Id="rId293" Type="http://schemas.openxmlformats.org/officeDocument/2006/relationships/printerSettings" Target="../printerSettings/printerSettings1.bin"/><Relationship Id="rId88" Type="http://schemas.openxmlformats.org/officeDocument/2006/relationships/hyperlink" Target="mailto:joaopedro.nunes@fairfax.com.br" TargetMode="External"/><Relationship Id="rId111" Type="http://schemas.openxmlformats.org/officeDocument/2006/relationships/hyperlink" Target="mailto:admin_latam@ertemrivero.com" TargetMode="External"/><Relationship Id="rId132" Type="http://schemas.openxmlformats.org/officeDocument/2006/relationships/hyperlink" Target="mailto:aespinoza@corramer.com" TargetMode="External"/><Relationship Id="rId153" Type="http://schemas.openxmlformats.org/officeDocument/2006/relationships/hyperlink" Target="mailto:marisel.diaz@malakut.com.pa" TargetMode="External"/><Relationship Id="rId174" Type="http://schemas.openxmlformats.org/officeDocument/2006/relationships/hyperlink" Target="mailto:patricio.quimuna@ajudec.com" TargetMode="External"/><Relationship Id="rId195" Type="http://schemas.openxmlformats.org/officeDocument/2006/relationships/hyperlink" Target="mailto:info@equos.cl" TargetMode="External"/><Relationship Id="rId209" Type="http://schemas.openxmlformats.org/officeDocument/2006/relationships/hyperlink" Target="mailto:Orionegro@maiolegal.com" TargetMode="External"/><Relationship Id="rId220" Type="http://schemas.openxmlformats.org/officeDocument/2006/relationships/hyperlink" Target="http://www.kingsalomon.com/" TargetMode="External"/><Relationship Id="rId241" Type="http://schemas.openxmlformats.org/officeDocument/2006/relationships/hyperlink" Target="http://www.marlinblue.com/" TargetMode="External"/><Relationship Id="rId15" Type="http://schemas.openxmlformats.org/officeDocument/2006/relationships/hyperlink" Target="mailto:jessica@villagranlara.com" TargetMode="External"/><Relationship Id="rId36" Type="http://schemas.openxmlformats.org/officeDocument/2006/relationships/hyperlink" Target="mailto:yagomez@sura.com.co" TargetMode="External"/><Relationship Id="rId57" Type="http://schemas.openxmlformats.org/officeDocument/2006/relationships/hyperlink" Target="mailto:m.torrealba@reasanto.com" TargetMode="External"/><Relationship Id="rId262" Type="http://schemas.openxmlformats.org/officeDocument/2006/relationships/hyperlink" Target="http://www.andestool.com/" TargetMode="External"/><Relationship Id="rId283" Type="http://schemas.openxmlformats.org/officeDocument/2006/relationships/hyperlink" Target="http://www.mapfre.com/" TargetMode="External"/><Relationship Id="rId78" Type="http://schemas.openxmlformats.org/officeDocument/2006/relationships/hyperlink" Target="mailto:ajustadores@marsur.com.ec" TargetMode="External"/><Relationship Id="rId99" Type="http://schemas.openxmlformats.org/officeDocument/2006/relationships/hyperlink" Target="mailto:jbru@ime.com.pa" TargetMode="External"/><Relationship Id="rId101" Type="http://schemas.openxmlformats.org/officeDocument/2006/relationships/hyperlink" Target="mailto:Diego.Reppetti@allianz.com.ar" TargetMode="External"/><Relationship Id="rId122" Type="http://schemas.openxmlformats.org/officeDocument/2006/relationships/hyperlink" Target="mailto:carlos.mena@everestglobal.com" TargetMode="External"/><Relationship Id="rId143" Type="http://schemas.openxmlformats.org/officeDocument/2006/relationships/hyperlink" Target="mailto:dantonia.fermin@charterama.com" TargetMode="External"/><Relationship Id="rId164" Type="http://schemas.openxmlformats.org/officeDocument/2006/relationships/hyperlink" Target="mailto:avaldivia@vyaa.cl" TargetMode="External"/><Relationship Id="rId185" Type="http://schemas.openxmlformats.org/officeDocument/2006/relationships/hyperlink" Target="mailto:contacto@redna.com" TargetMode="External"/><Relationship Id="rId9" Type="http://schemas.openxmlformats.org/officeDocument/2006/relationships/hyperlink" Target="mailto:igudiel@elroble.com" TargetMode="External"/><Relationship Id="rId210" Type="http://schemas.openxmlformats.org/officeDocument/2006/relationships/hyperlink" Target="http://www.axacolpatria.co/" TargetMode="External"/><Relationship Id="rId26" Type="http://schemas.openxmlformats.org/officeDocument/2006/relationships/hyperlink" Target="mailto:rvalle@opa-crawford.com" TargetMode="External"/><Relationship Id="rId231" Type="http://schemas.openxmlformats.org/officeDocument/2006/relationships/hyperlink" Target="http://www.addvalora-wmoller.com/" TargetMode="External"/><Relationship Id="rId252" Type="http://schemas.openxmlformats.org/officeDocument/2006/relationships/hyperlink" Target="mailto:ezunino@vican.com.uy" TargetMode="External"/><Relationship Id="rId273" Type="http://schemas.openxmlformats.org/officeDocument/2006/relationships/hyperlink" Target="mailto:secretaria@francoabogados.com.co" TargetMode="External"/><Relationship Id="rId294" Type="http://schemas.openxmlformats.org/officeDocument/2006/relationships/vmlDrawing" Target="../drawings/vmlDrawing1.vml"/><Relationship Id="rId47" Type="http://schemas.openxmlformats.org/officeDocument/2006/relationships/hyperlink" Target="mailto:mcg@carvajalvalekabogados.com" TargetMode="External"/><Relationship Id="rId68" Type="http://schemas.openxmlformats.org/officeDocument/2006/relationships/hyperlink" Target="mailto:eduardo.michelin@wtwco.com" TargetMode="External"/><Relationship Id="rId89" Type="http://schemas.openxmlformats.org/officeDocument/2006/relationships/hyperlink" Target="mailto:carlos.zambrano@ecuasuiza.ec" TargetMode="External"/><Relationship Id="rId112" Type="http://schemas.openxmlformats.org/officeDocument/2006/relationships/hyperlink" Target="mailto:arodriguez@probitas.cl" TargetMode="External"/><Relationship Id="rId133" Type="http://schemas.openxmlformats.org/officeDocument/2006/relationships/hyperlink" Target="mailto:eidelman.gonzalez@kingsalomon.com" TargetMode="External"/><Relationship Id="rId154" Type="http://schemas.openxmlformats.org/officeDocument/2006/relationships/hyperlink" Target="mailto:jrzperitajes@jrzperu.com" TargetMode="External"/><Relationship Id="rId175" Type="http://schemas.openxmlformats.org/officeDocument/2006/relationships/hyperlink" Target="mailto:patricio.quimuna@ajudec.com" TargetMode="External"/><Relationship Id="rId196" Type="http://schemas.openxmlformats.org/officeDocument/2006/relationships/hyperlink" Target="mailto:valentina.ladino@azlogica.com" TargetMode="External"/><Relationship Id="rId200" Type="http://schemas.openxmlformats.org/officeDocument/2006/relationships/hyperlink" Target="mailto:cdelgado@avla.com" TargetMode="External"/><Relationship Id="rId16" Type="http://schemas.openxmlformats.org/officeDocument/2006/relationships/hyperlink" Target="mailto:kch@rtsgrupo.com" TargetMode="External"/><Relationship Id="rId221" Type="http://schemas.openxmlformats.org/officeDocument/2006/relationships/hyperlink" Target="https://www.sbseguros.co/" TargetMode="External"/><Relationship Id="rId242" Type="http://schemas.openxmlformats.org/officeDocument/2006/relationships/hyperlink" Target="http://mlsglobal.cl/" TargetMode="External"/><Relationship Id="rId263" Type="http://schemas.openxmlformats.org/officeDocument/2006/relationships/hyperlink" Target="http://www.caveliquidadores.cl/" TargetMode="External"/><Relationship Id="rId284" Type="http://schemas.openxmlformats.org/officeDocument/2006/relationships/hyperlink" Target="https://ariskm.com/" TargetMode="External"/><Relationship Id="rId37" Type="http://schemas.openxmlformats.org/officeDocument/2006/relationships/hyperlink" Target="mailto:Laura.Bermejo@segurosdelestado.com" TargetMode="External"/><Relationship Id="rId58" Type="http://schemas.openxmlformats.org/officeDocument/2006/relationships/hyperlink" Target="mailto:cbdo@keeperscorp.com" TargetMode="External"/><Relationship Id="rId79" Type="http://schemas.openxmlformats.org/officeDocument/2006/relationships/hyperlink" Target="mailto:avallejo@maiolegal.com" TargetMode="External"/><Relationship Id="rId102" Type="http://schemas.openxmlformats.org/officeDocument/2006/relationships/hyperlink" Target="mailto:IPINEL@mapfre.com" TargetMode="External"/><Relationship Id="rId123" Type="http://schemas.openxmlformats.org/officeDocument/2006/relationships/hyperlink" Target="mailto:Carlos.santos@umbrellare.com" TargetMode="External"/><Relationship Id="rId144" Type="http://schemas.openxmlformats.org/officeDocument/2006/relationships/hyperlink" Target="mailto:rrios@segurosatlas.com.mx" TargetMode="External"/><Relationship Id="rId90" Type="http://schemas.openxmlformats.org/officeDocument/2006/relationships/hyperlink" Target="mailto:Arotella@crawford.cl" TargetMode="External"/><Relationship Id="rId165" Type="http://schemas.openxmlformats.org/officeDocument/2006/relationships/hyperlink" Target="mailto:andresmoralescarbo@momentumreinsurance.com" TargetMode="External"/><Relationship Id="rId186" Type="http://schemas.openxmlformats.org/officeDocument/2006/relationships/hyperlink" Target="mailto:dyepez@stowmarineservices.com" TargetMode="External"/><Relationship Id="rId211" Type="http://schemas.openxmlformats.org/officeDocument/2006/relationships/hyperlink" Target="https://www.mnkseguros.com/" TargetMode="External"/><Relationship Id="rId232" Type="http://schemas.openxmlformats.org/officeDocument/2006/relationships/hyperlink" Target="http://www.wtwco.com/" TargetMode="External"/><Relationship Id="rId253" Type="http://schemas.openxmlformats.org/officeDocument/2006/relationships/hyperlink" Target="http://www.cerproin.com.mx/" TargetMode="External"/><Relationship Id="rId274" Type="http://schemas.openxmlformats.org/officeDocument/2006/relationships/hyperlink" Target="https://www.ime.com.pa/" TargetMode="External"/><Relationship Id="rId295" Type="http://schemas.openxmlformats.org/officeDocument/2006/relationships/comments" Target="../comments1.xml"/><Relationship Id="rId27" Type="http://schemas.openxmlformats.org/officeDocument/2006/relationships/hyperlink" Target="mailto:maira.castaneda@nacora.com" TargetMode="External"/><Relationship Id="rId48" Type="http://schemas.openxmlformats.org/officeDocument/2006/relationships/hyperlink" Target="mailto:mcg@carvajalvalekabogados.com" TargetMode="External"/><Relationship Id="rId69" Type="http://schemas.openxmlformats.org/officeDocument/2006/relationships/hyperlink" Target="mailto:avalle@transre.com" TargetMode="External"/><Relationship Id="rId113" Type="http://schemas.openxmlformats.org/officeDocument/2006/relationships/hyperlink" Target="mailto:mperla@nacion-seguros.com.ar" TargetMode="External"/><Relationship Id="rId134" Type="http://schemas.openxmlformats.org/officeDocument/2006/relationships/hyperlink" Target="mailto:info@powermaritima.net" TargetMode="External"/><Relationship Id="rId80" Type="http://schemas.openxmlformats.org/officeDocument/2006/relationships/hyperlink" Target="mailto:agoldbaum@seguroslaunion.com" TargetMode="External"/><Relationship Id="rId155" Type="http://schemas.openxmlformats.org/officeDocument/2006/relationships/hyperlink" Target="mailto:sonia.gonzalez@GMX.COM.MX" TargetMode="External"/><Relationship Id="rId176" Type="http://schemas.openxmlformats.org/officeDocument/2006/relationships/hyperlink" Target="mailto:liliana.cifuentes@axacolpatria.co" TargetMode="External"/><Relationship Id="rId197" Type="http://schemas.openxmlformats.org/officeDocument/2006/relationships/hyperlink" Target="mailto:administrativo@azlogica.com" TargetMode="External"/><Relationship Id="rId201" Type="http://schemas.openxmlformats.org/officeDocument/2006/relationships/hyperlink" Target="https://www.garciarboleda.co/" TargetMode="External"/><Relationship Id="rId222" Type="http://schemas.openxmlformats.org/officeDocument/2006/relationships/hyperlink" Target="http://www.helvetia.com/specialtylines" TargetMode="External"/><Relationship Id="rId243" Type="http://schemas.openxmlformats.org/officeDocument/2006/relationships/hyperlink" Target="mailto:ricardo.salgado@tbsmexico.com.mx" TargetMode="External"/><Relationship Id="rId264" Type="http://schemas.openxmlformats.org/officeDocument/2006/relationships/hyperlink" Target="https://www.ajg.com/co/" TargetMode="External"/><Relationship Id="rId285" Type="http://schemas.openxmlformats.org/officeDocument/2006/relationships/hyperlink" Target="http://www.rtsgrupo.com/" TargetMode="External"/><Relationship Id="rId17" Type="http://schemas.openxmlformats.org/officeDocument/2006/relationships/hyperlink" Target="mailto:Nancy.Triana@hannover-re.com" TargetMode="External"/><Relationship Id="rId38" Type="http://schemas.openxmlformats.org/officeDocument/2006/relationships/hyperlink" Target="mailto:marcos.salvador@fairfax.com.br" TargetMode="External"/><Relationship Id="rId59" Type="http://schemas.openxmlformats.org/officeDocument/2006/relationships/hyperlink" Target="mailto:clbenitez@sancorseguros.com.py" TargetMode="External"/><Relationship Id="rId103" Type="http://schemas.openxmlformats.org/officeDocument/2006/relationships/hyperlink" Target="mailto:jose.rosas@abl-group.com" TargetMode="External"/><Relationship Id="rId124" Type="http://schemas.openxmlformats.org/officeDocument/2006/relationships/hyperlink" Target="mailto:fdiaz@comismar.es" TargetMode="External"/><Relationship Id="rId70" Type="http://schemas.openxmlformats.org/officeDocument/2006/relationships/hyperlink" Target="mailto:Priscila.mora@sbins.cl" TargetMode="External"/><Relationship Id="rId91" Type="http://schemas.openxmlformats.org/officeDocument/2006/relationships/hyperlink" Target="mailto:omar.cordova.cordovi@icloud.com" TargetMode="External"/><Relationship Id="rId145" Type="http://schemas.openxmlformats.org/officeDocument/2006/relationships/hyperlink" Target="mailto:obarahona@assanet.com" TargetMode="External"/><Relationship Id="rId166" Type="http://schemas.openxmlformats.org/officeDocument/2006/relationships/hyperlink" Target="mailto:Arturo.Posada@LibertyMutual.com" TargetMode="External"/><Relationship Id="rId187" Type="http://schemas.openxmlformats.org/officeDocument/2006/relationships/hyperlink" Target="mailto:janeth.barrios@previsora.gov.co" TargetMode="External"/><Relationship Id="rId1" Type="http://schemas.openxmlformats.org/officeDocument/2006/relationships/hyperlink" Target="mailto:Rafael.Diaz@thomasmiller.com" TargetMode="External"/><Relationship Id="rId212" Type="http://schemas.openxmlformats.org/officeDocument/2006/relationships/hyperlink" Target="mailto:berny.mejias@mnkseguros.com" TargetMode="External"/><Relationship Id="rId233" Type="http://schemas.openxmlformats.org/officeDocument/2006/relationships/hyperlink" Target="mailto:eduardo.michelin@wtwco.com" TargetMode="External"/><Relationship Id="rId254" Type="http://schemas.openxmlformats.org/officeDocument/2006/relationships/hyperlink" Target="http://logrisk.com.mx/" TargetMode="External"/><Relationship Id="rId28" Type="http://schemas.openxmlformats.org/officeDocument/2006/relationships/hyperlink" Target="mailto:cristian.hidalgo@mclarens.com" TargetMode="External"/><Relationship Id="rId49" Type="http://schemas.openxmlformats.org/officeDocument/2006/relationships/hyperlink" Target="mailto:mcg@carvajalvalekabogados.com" TargetMode="External"/><Relationship Id="rId114" Type="http://schemas.openxmlformats.org/officeDocument/2006/relationships/hyperlink" Target="mailto:amartinez@sgc-group.cl" TargetMode="External"/><Relationship Id="rId275" Type="http://schemas.openxmlformats.org/officeDocument/2006/relationships/hyperlink" Target="http://www.grupoajusco.com/" TargetMode="External"/><Relationship Id="rId296" Type="http://schemas.microsoft.com/office/2017/10/relationships/threadedComment" Target="../threadedComments/threadedComment1.xml"/><Relationship Id="rId60" Type="http://schemas.openxmlformats.org/officeDocument/2006/relationships/hyperlink" Target="mailto:ffmolina@sancorseguros.com.ar" TargetMode="External"/><Relationship Id="rId81" Type="http://schemas.openxmlformats.org/officeDocument/2006/relationships/hyperlink" Target="mailto:Javier.garzon@previsora.gov.co" TargetMode="External"/><Relationship Id="rId135" Type="http://schemas.openxmlformats.org/officeDocument/2006/relationships/hyperlink" Target="mailto:dcastillo@rtsgrupo.com" TargetMode="External"/><Relationship Id="rId156" Type="http://schemas.openxmlformats.org/officeDocument/2006/relationships/hyperlink" Target="mailto:agrillo@adrianagrillo.com" TargetMode="External"/><Relationship Id="rId177" Type="http://schemas.openxmlformats.org/officeDocument/2006/relationships/hyperlink" Target="mailto:liliana.cifuentes@axacolpatria.co" TargetMode="External"/><Relationship Id="rId198" Type="http://schemas.openxmlformats.org/officeDocument/2006/relationships/hyperlink" Target="mailto:silvana.orozco@azlogica.com" TargetMode="External"/><Relationship Id="rId202" Type="http://schemas.openxmlformats.org/officeDocument/2006/relationships/hyperlink" Target="mailto:facturacion@garciarboleda.co" TargetMode="External"/><Relationship Id="rId223" Type="http://schemas.openxmlformats.org/officeDocument/2006/relationships/hyperlink" Target="https://www.saint-clement.com/" TargetMode="External"/><Relationship Id="rId244" Type="http://schemas.openxmlformats.org/officeDocument/2006/relationships/hyperlink" Target="http://www.reasanto.com/" TargetMode="External"/><Relationship Id="rId18" Type="http://schemas.openxmlformats.org/officeDocument/2006/relationships/hyperlink" Target="mailto:cleymarie@assistcargo.com&#160;" TargetMode="External"/><Relationship Id="rId39" Type="http://schemas.openxmlformats.org/officeDocument/2006/relationships/hyperlink" Target="mailto:tommy.solorzano@davivienda.com.hn" TargetMode="External"/><Relationship Id="rId265" Type="http://schemas.openxmlformats.org/officeDocument/2006/relationships/hyperlink" Target="mailto:diana.gonzalez@gmx.com.mx" TargetMode="External"/><Relationship Id="rId286" Type="http://schemas.openxmlformats.org/officeDocument/2006/relationships/hyperlink" Target="http://www.arm-services.com/" TargetMode="External"/><Relationship Id="rId50" Type="http://schemas.openxmlformats.org/officeDocument/2006/relationships/hyperlink" Target="mailto:adailton@sompo.com.br" TargetMode="External"/><Relationship Id="rId104" Type="http://schemas.openxmlformats.org/officeDocument/2006/relationships/hyperlink" Target="mailto:amilcar.fryszman@aig.com" TargetMode="External"/><Relationship Id="rId125" Type="http://schemas.openxmlformats.org/officeDocument/2006/relationships/hyperlink" Target="mailto:emanuel.vasquez@vadasa.com" TargetMode="External"/><Relationship Id="rId146" Type="http://schemas.openxmlformats.org/officeDocument/2006/relationships/hyperlink" Target="mailto:JuanG_Hincapie@ajg.com" TargetMode="External"/><Relationship Id="rId167" Type="http://schemas.openxmlformats.org/officeDocument/2006/relationships/hyperlink" Target="mailto:olbertz@assekuransa.com" TargetMode="External"/><Relationship Id="rId188" Type="http://schemas.openxmlformats.org/officeDocument/2006/relationships/hyperlink" Target="mailto:leonardo.morales@helvetia.com" TargetMode="External"/><Relationship Id="rId71" Type="http://schemas.openxmlformats.org/officeDocument/2006/relationships/hyperlink" Target="mailto:alejandro.hernandez@som.us" TargetMode="External"/><Relationship Id="rId92" Type="http://schemas.openxmlformats.org/officeDocument/2006/relationships/hyperlink" Target="mailto:jcm@cargocorpuw.com" TargetMode="External"/><Relationship Id="rId213" Type="http://schemas.openxmlformats.org/officeDocument/2006/relationships/hyperlink" Target="https://jcorrealegal.com/" TargetMode="External"/><Relationship Id="rId234" Type="http://schemas.openxmlformats.org/officeDocument/2006/relationships/hyperlink" Target="http://www.assistcargo.com/" TargetMode="External"/><Relationship Id="rId2" Type="http://schemas.openxmlformats.org/officeDocument/2006/relationships/hyperlink" Target="mailto:pabloruizl@cerproin.com.mx" TargetMode="External"/><Relationship Id="rId29" Type="http://schemas.openxmlformats.org/officeDocument/2006/relationships/hyperlink" Target="mailto:ajustadores@marsur.com.ec" TargetMode="External"/><Relationship Id="rId255" Type="http://schemas.openxmlformats.org/officeDocument/2006/relationships/hyperlink" Target="mailto:Joseangel@boleasaez.com" TargetMode="External"/><Relationship Id="rId276" Type="http://schemas.openxmlformats.org/officeDocument/2006/relationships/hyperlink" Target="https://www.abl-group.com/" TargetMode="External"/><Relationship Id="rId40" Type="http://schemas.openxmlformats.org/officeDocument/2006/relationships/hyperlink" Target="mailto:mmacias@corramer.com" TargetMode="External"/><Relationship Id="rId115" Type="http://schemas.openxmlformats.org/officeDocument/2006/relationships/hyperlink" Target="mailto:erika.vigil@summare.com.mx" TargetMode="External"/><Relationship Id="rId136" Type="http://schemas.openxmlformats.org/officeDocument/2006/relationships/hyperlink" Target="mailto:juanpatricio.corral@uk.rsagroup.com" TargetMode="External"/><Relationship Id="rId157" Type="http://schemas.openxmlformats.org/officeDocument/2006/relationships/hyperlink" Target="mailto:mgarcia@garciarboleda.co" TargetMode="External"/><Relationship Id="rId178" Type="http://schemas.openxmlformats.org/officeDocument/2006/relationships/hyperlink" Target="mailto:rigoberto@thebcap.com" TargetMode="External"/><Relationship Id="rId61" Type="http://schemas.openxmlformats.org/officeDocument/2006/relationships/hyperlink" Target="mailto:Eduardo.GonzalezOrozco@hdi.com.mx" TargetMode="External"/><Relationship Id="rId82" Type="http://schemas.openxmlformats.org/officeDocument/2006/relationships/hyperlink" Target="mailto:jespinal@lamonumental.com.do" TargetMode="External"/><Relationship Id="rId199" Type="http://schemas.openxmlformats.org/officeDocument/2006/relationships/hyperlink" Target="https://www.avla.com/" TargetMode="External"/><Relationship Id="rId203" Type="http://schemas.openxmlformats.org/officeDocument/2006/relationships/hyperlink" Target="mailto:aguevara@garciarboleda.co" TargetMode="External"/><Relationship Id="rId19" Type="http://schemas.openxmlformats.org/officeDocument/2006/relationships/hyperlink" Target="mailto:ana.quintela@allianz.com" TargetMode="External"/><Relationship Id="rId224" Type="http://schemas.openxmlformats.org/officeDocument/2006/relationships/hyperlink" Target="http://www.lockton.com/" TargetMode="External"/><Relationship Id="rId245" Type="http://schemas.openxmlformats.org/officeDocument/2006/relationships/hyperlink" Target="https://www.interproteccion.com.mx/" TargetMode="External"/><Relationship Id="rId266" Type="http://schemas.openxmlformats.org/officeDocument/2006/relationships/hyperlink" Target="mailto:francisco.medina@davivienda.com.hn" TargetMode="External"/><Relationship Id="rId287" Type="http://schemas.openxmlformats.org/officeDocument/2006/relationships/hyperlink" Target="https://www.specialtyregroup.com/" TargetMode="External"/><Relationship Id="rId30" Type="http://schemas.openxmlformats.org/officeDocument/2006/relationships/hyperlink" Target="mailto:galayza@marsur.com.ec" TargetMode="External"/><Relationship Id="rId105" Type="http://schemas.openxmlformats.org/officeDocument/2006/relationships/hyperlink" Target="mailto:smarkov@arm-services.com" TargetMode="External"/><Relationship Id="rId126" Type="http://schemas.openxmlformats.org/officeDocument/2006/relationships/hyperlink" Target="mailto:gbrenes@mollercen.com" TargetMode="External"/><Relationship Id="rId147" Type="http://schemas.openxmlformats.org/officeDocument/2006/relationships/hyperlink" Target="mailto:miguel.guarin@hannover-re.com" TargetMode="External"/><Relationship Id="rId168" Type="http://schemas.openxmlformats.org/officeDocument/2006/relationships/hyperlink" Target="mailto:fbarrio@namesuagency.com" TargetMode="External"/><Relationship Id="rId51" Type="http://schemas.openxmlformats.org/officeDocument/2006/relationships/hyperlink" Target="mailto:alizano@sunlightsolutions.com" TargetMode="External"/><Relationship Id="rId72" Type="http://schemas.openxmlformats.org/officeDocument/2006/relationships/hyperlink" Target="mailto:juan.velasquez.velasquez@segurosbolivar.com" TargetMode="External"/><Relationship Id="rId93" Type="http://schemas.openxmlformats.org/officeDocument/2006/relationships/hyperlink" Target="mailto:jlanselmi@anselmi.com.ar" TargetMode="External"/><Relationship Id="rId189" Type="http://schemas.openxmlformats.org/officeDocument/2006/relationships/hyperlink" Target="mailto:ncampoverde@ecuare.com" TargetMode="External"/><Relationship Id="rId3" Type="http://schemas.openxmlformats.org/officeDocument/2006/relationships/hyperlink" Target="mailto:mquiroga@dacbeachcroft.com" TargetMode="External"/><Relationship Id="rId214" Type="http://schemas.openxmlformats.org/officeDocument/2006/relationships/hyperlink" Target="https://www.nacora.com/" TargetMode="External"/><Relationship Id="rId235" Type="http://schemas.openxmlformats.org/officeDocument/2006/relationships/hyperlink" Target="http://www.americalre.com/" TargetMode="External"/><Relationship Id="rId256" Type="http://schemas.openxmlformats.org/officeDocument/2006/relationships/hyperlink" Target="https://segurosatlas.com.mx/" TargetMode="External"/><Relationship Id="rId277" Type="http://schemas.openxmlformats.org/officeDocument/2006/relationships/hyperlink" Target="mailto:info@equisuiza.com" TargetMode="External"/><Relationship Id="rId116" Type="http://schemas.openxmlformats.org/officeDocument/2006/relationships/hyperlink" Target="mailto:gbottin@hanseatica.com" TargetMode="External"/><Relationship Id="rId137" Type="http://schemas.openxmlformats.org/officeDocument/2006/relationships/hyperlink" Target="mailto:carlos.nieto@ros.com.do" TargetMode="External"/><Relationship Id="rId158" Type="http://schemas.openxmlformats.org/officeDocument/2006/relationships/hyperlink" Target="mailto:pedro.serrano@praam.com.Mx" TargetMode="External"/><Relationship Id="rId20" Type="http://schemas.openxmlformats.org/officeDocument/2006/relationships/hyperlink" Target="mailto:afontana@vican.com.uy" TargetMode="External"/><Relationship Id="rId41" Type="http://schemas.openxmlformats.org/officeDocument/2006/relationships/hyperlink" Target="mailto:Milton.Giraldo@segurosdelestado.com" TargetMode="External"/><Relationship Id="rId62" Type="http://schemas.openxmlformats.org/officeDocument/2006/relationships/hyperlink" Target="mailto:MMP@CARGORISK.COM" TargetMode="External"/><Relationship Id="rId83" Type="http://schemas.openxmlformats.org/officeDocument/2006/relationships/hyperlink" Target="mailto:jchinchon@poussin.edu.pe" TargetMode="External"/><Relationship Id="rId179" Type="http://schemas.openxmlformats.org/officeDocument/2006/relationships/hyperlink" Target="mailto:comercial@dynamicreinsurance.com" TargetMode="External"/><Relationship Id="rId190" Type="http://schemas.openxmlformats.org/officeDocument/2006/relationships/hyperlink" Target="mailto:jcjaramillo@ajuscoecuador.com" TargetMode="External"/><Relationship Id="rId204" Type="http://schemas.openxmlformats.org/officeDocument/2006/relationships/hyperlink" Target="https://www.helixmarine.es/" TargetMode="External"/><Relationship Id="rId225" Type="http://schemas.openxmlformats.org/officeDocument/2006/relationships/hyperlink" Target="http://www.assekuransa.com/" TargetMode="External"/><Relationship Id="rId246" Type="http://schemas.openxmlformats.org/officeDocument/2006/relationships/hyperlink" Target="https://www.ecuare.com/" TargetMode="External"/><Relationship Id="rId267" Type="http://schemas.openxmlformats.org/officeDocument/2006/relationships/hyperlink" Target="mailto:mariateresa.villegasramos@aig.com" TargetMode="External"/><Relationship Id="rId288" Type="http://schemas.openxmlformats.org/officeDocument/2006/relationships/hyperlink" Target="https://seguroscrecer.com/" TargetMode="External"/><Relationship Id="rId106" Type="http://schemas.openxmlformats.org/officeDocument/2006/relationships/hyperlink" Target="mailto:xavier.corona@baalnak.com" TargetMode="External"/><Relationship Id="rId127" Type="http://schemas.openxmlformats.org/officeDocument/2006/relationships/hyperlink" Target="mailto:ilammic@meridionalseguros.com.ar" TargetMode="External"/><Relationship Id="rId10" Type="http://schemas.openxmlformats.org/officeDocument/2006/relationships/hyperlink" Target="mailto:csalerno@marconsult-fidens.com" TargetMode="External"/><Relationship Id="rId31" Type="http://schemas.openxmlformats.org/officeDocument/2006/relationships/hyperlink" Target="mailto:MMP@CARGORISK.COM" TargetMode="External"/><Relationship Id="rId52" Type="http://schemas.openxmlformats.org/officeDocument/2006/relationships/hyperlink" Target="mailto:mguerreroc@grupoins.com" TargetMode="External"/><Relationship Id="rId73" Type="http://schemas.openxmlformats.org/officeDocument/2006/relationships/hyperlink" Target="mailto:marcos.prada@rokstoneum.com" TargetMode="External"/><Relationship Id="rId94" Type="http://schemas.openxmlformats.org/officeDocument/2006/relationships/hyperlink" Target="mailto:gyusti@admiraltylaw.com.ar" TargetMode="External"/><Relationship Id="rId148" Type="http://schemas.openxmlformats.org/officeDocument/2006/relationships/hyperlink" Target="mailto:ndagostini@seguroscrecer.com" TargetMode="External"/><Relationship Id="rId169" Type="http://schemas.openxmlformats.org/officeDocument/2006/relationships/hyperlink" Target="mailto:jose.maria.lopez@aon.com" TargetMode="External"/><Relationship Id="rId4" Type="http://schemas.openxmlformats.org/officeDocument/2006/relationships/hyperlink" Target="mailto:obarton@dacbeachcroft.com" TargetMode="External"/><Relationship Id="rId180" Type="http://schemas.openxmlformats.org/officeDocument/2006/relationships/hyperlink" Target="mailto:felipe.collarte@gibbs.cl" TargetMode="External"/><Relationship Id="rId215" Type="http://schemas.openxmlformats.org/officeDocument/2006/relationships/hyperlink" Target="mailto:leonardo.vargas@nacora.com" TargetMode="External"/><Relationship Id="rId236" Type="http://schemas.openxmlformats.org/officeDocument/2006/relationships/hyperlink" Target="http://bascargoi.com/" TargetMode="External"/><Relationship Id="rId257" Type="http://schemas.openxmlformats.org/officeDocument/2006/relationships/hyperlink" Target="mailto:barbara.simoes@albatrozmga.com" TargetMode="External"/><Relationship Id="rId278" Type="http://schemas.openxmlformats.org/officeDocument/2006/relationships/hyperlink" Target="mailto:crcastaneda@cogentinternational.co" TargetMode="External"/><Relationship Id="rId42" Type="http://schemas.openxmlformats.org/officeDocument/2006/relationships/hyperlink" Target="mailto:juridico@segurosdelestado.com" TargetMode="External"/><Relationship Id="rId84" Type="http://schemas.openxmlformats.org/officeDocument/2006/relationships/hyperlink" Target="mailto:mdelaguardia@iseguros.com" TargetMode="External"/><Relationship Id="rId138" Type="http://schemas.openxmlformats.org/officeDocument/2006/relationships/hyperlink" Target="mailto:claudiomagne@gmail.com" TargetMode="External"/><Relationship Id="rId191" Type="http://schemas.openxmlformats.org/officeDocument/2006/relationships/hyperlink" Target="mailto:DiegoMartinez@priceforbes.com" TargetMode="External"/><Relationship Id="rId205" Type="http://schemas.openxmlformats.org/officeDocument/2006/relationships/hyperlink" Target="mailto:gorts@helixmarine.es" TargetMode="External"/><Relationship Id="rId247" Type="http://schemas.openxmlformats.org/officeDocument/2006/relationships/hyperlink" Target="mailto:ncampoverde@ecuare.com" TargetMode="External"/><Relationship Id="rId107" Type="http://schemas.openxmlformats.org/officeDocument/2006/relationships/hyperlink" Target="mailto:leonidas@villagranlara.com" TargetMode="External"/><Relationship Id="rId289" Type="http://schemas.openxmlformats.org/officeDocument/2006/relationships/hyperlink" Target="https://www.corramer.com/" TargetMode="External"/><Relationship Id="rId11" Type="http://schemas.openxmlformats.org/officeDocument/2006/relationships/hyperlink" Target="mailto:Francisco.Campos@aig.com" TargetMode="External"/><Relationship Id="rId53" Type="http://schemas.openxmlformats.org/officeDocument/2006/relationships/hyperlink" Target="mailto:jjcorrea@jcorrealegal.com" TargetMode="External"/><Relationship Id="rId149" Type="http://schemas.openxmlformats.org/officeDocument/2006/relationships/hyperlink" Target="mailto:salvatore.lombardi@albatrozmga.com" TargetMode="External"/><Relationship Id="rId95" Type="http://schemas.openxmlformats.org/officeDocument/2006/relationships/hyperlink" Target="tel:0203%20961%209840" TargetMode="External"/><Relationship Id="rId160" Type="http://schemas.openxmlformats.org/officeDocument/2006/relationships/hyperlink" Target="mailto:layala@mercantilre.com" TargetMode="External"/><Relationship Id="rId216" Type="http://schemas.openxmlformats.org/officeDocument/2006/relationships/hyperlink" Target="https://www.redna.com.mx/" TargetMode="External"/><Relationship Id="rId258" Type="http://schemas.openxmlformats.org/officeDocument/2006/relationships/hyperlink" Target="http://www.admiraltylaw.com.ar/" TargetMode="External"/><Relationship Id="rId22" Type="http://schemas.openxmlformats.org/officeDocument/2006/relationships/hyperlink" Target="mailto:contabilidad@sgc.cl" TargetMode="External"/><Relationship Id="rId64" Type="http://schemas.openxmlformats.org/officeDocument/2006/relationships/hyperlink" Target="mailto:david.otero@hdi.cl" TargetMode="External"/><Relationship Id="rId118" Type="http://schemas.openxmlformats.org/officeDocument/2006/relationships/hyperlink" Target="mailto:jvalle@opa-crawford.com" TargetMode="External"/><Relationship Id="rId171" Type="http://schemas.openxmlformats.org/officeDocument/2006/relationships/hyperlink" Target="mailto:andrew.cave@caveliquidadores.cl" TargetMode="External"/><Relationship Id="rId227" Type="http://schemas.openxmlformats.org/officeDocument/2006/relationships/hyperlink" Target="https://lima-re.com/" TargetMode="External"/><Relationship Id="rId269" Type="http://schemas.openxmlformats.org/officeDocument/2006/relationships/hyperlink" Target="mailto:ljaramillog@sura.com.co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rodriguezjr@jrryasoc.com.ar" TargetMode="External"/><Relationship Id="rId7" Type="http://schemas.openxmlformats.org/officeDocument/2006/relationships/comments" Target="../comments3.xml"/><Relationship Id="rId2" Type="http://schemas.openxmlformats.org/officeDocument/2006/relationships/hyperlink" Target="mailto:rodriguezjulieta@jrryasoc.com.ar" TargetMode="External"/><Relationship Id="rId1" Type="http://schemas.openxmlformats.org/officeDocument/2006/relationships/hyperlink" Target="mailto:jss@jssusa.com" TargetMode="External"/><Relationship Id="rId6" Type="http://schemas.openxmlformats.org/officeDocument/2006/relationships/vmlDrawing" Target="../drawings/vmlDrawing3.vml"/><Relationship Id="rId5" Type="http://schemas.openxmlformats.org/officeDocument/2006/relationships/hyperlink" Target="mailto:obarahona@assanet.com" TargetMode="External"/><Relationship Id="rId4" Type="http://schemas.openxmlformats.org/officeDocument/2006/relationships/hyperlink" Target="mailto:rmock@assane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9865-BAC1-43A6-8467-41F7E7B3E707}">
  <dimension ref="A1:BQ194"/>
  <sheetViews>
    <sheetView zoomScaleNormal="100" zoomScaleSheetLayoutView="100" workbookViewId="0">
      <pane xSplit="1" ySplit="1" topLeftCell="B2" activePane="bottomRight" state="frozen"/>
      <selection pane="topRight"/>
      <selection pane="bottomLeft"/>
      <selection pane="bottomRight" activeCell="A119" sqref="A119"/>
    </sheetView>
  </sheetViews>
  <sheetFormatPr baseColWidth="10" defaultColWidth="16.88671875" defaultRowHeight="14.4"/>
  <cols>
    <col min="1" max="1" width="73.88671875" style="106" bestFit="1" customWidth="1"/>
    <col min="2" max="2" width="21.88671875" style="19" bestFit="1" customWidth="1"/>
    <col min="3" max="3" width="171.5546875" style="19" bestFit="1" customWidth="1"/>
    <col min="4" max="4" width="19.109375" style="158" bestFit="1" customWidth="1"/>
    <col min="5" max="6" width="59.88671875" style="19" bestFit="1" customWidth="1"/>
    <col min="7" max="7" width="13.21875" style="19" bestFit="1" customWidth="1"/>
    <col min="8" max="8" width="14.5546875" style="19" bestFit="1" customWidth="1"/>
    <col min="9" max="9" width="15.5546875" style="297" bestFit="1" customWidth="1"/>
    <col min="10" max="10" width="17.5546875" style="297" bestFit="1" customWidth="1"/>
    <col min="11" max="11" width="59.44140625" style="297" bestFit="1" customWidth="1"/>
    <col min="12" max="12" width="17.109375" style="298" bestFit="1" customWidth="1"/>
    <col min="13" max="13" width="17.21875" style="298" bestFit="1" customWidth="1"/>
    <col min="14" max="14" width="53.88671875" style="287" bestFit="1" customWidth="1"/>
    <col min="15" max="15" width="37.6640625" style="19" bestFit="1" customWidth="1"/>
    <col min="16" max="16" width="41.44140625" style="19" bestFit="1" customWidth="1"/>
    <col min="17" max="17" width="34.88671875" style="229" bestFit="1" customWidth="1"/>
    <col min="18" max="18" width="32.88671875" style="19" bestFit="1" customWidth="1"/>
    <col min="19" max="19" width="37.33203125" style="19" bestFit="1" customWidth="1"/>
    <col min="20" max="20" width="35.88671875" style="210" bestFit="1" customWidth="1"/>
    <col min="21" max="21" width="37.6640625" style="19" bestFit="1" customWidth="1"/>
    <col min="22" max="22" width="68.88671875" style="19" bestFit="1" customWidth="1"/>
    <col min="23" max="23" width="18.5546875" style="210" bestFit="1" customWidth="1"/>
    <col min="24" max="24" width="32.6640625" style="19" bestFit="1" customWidth="1"/>
    <col min="25" max="25" width="30.77734375" style="19" bestFit="1" customWidth="1"/>
    <col min="26" max="26" width="35.77734375" style="19" bestFit="1" customWidth="1"/>
    <col min="27" max="27" width="121.88671875" style="19" bestFit="1" customWidth="1"/>
    <col min="28" max="28" width="63.21875" style="19" bestFit="1" customWidth="1"/>
    <col min="29" max="29" width="29.88671875" style="19" bestFit="1" customWidth="1"/>
    <col min="30" max="30" width="32.88671875" style="19" bestFit="1" customWidth="1"/>
    <col min="31" max="31" width="17.44140625" style="19" bestFit="1" customWidth="1"/>
    <col min="32" max="32" width="25.6640625" style="19" bestFit="1" customWidth="1"/>
    <col min="33" max="33" width="114.33203125" style="19" bestFit="1" customWidth="1"/>
    <col min="34" max="34" width="32" style="19" bestFit="1" customWidth="1"/>
    <col min="35" max="35" width="38.88671875" style="19" bestFit="1" customWidth="1"/>
    <col min="36" max="16384" width="16.88671875" style="19"/>
  </cols>
  <sheetData>
    <row r="1" spans="1:35" ht="43.2">
      <c r="A1" s="102" t="s">
        <v>0</v>
      </c>
      <c r="B1" s="67" t="s">
        <v>1</v>
      </c>
      <c r="C1" s="132" t="s">
        <v>2</v>
      </c>
      <c r="D1" s="149" t="s">
        <v>3</v>
      </c>
      <c r="E1" s="67" t="s">
        <v>4</v>
      </c>
      <c r="F1" s="67" t="s">
        <v>5</v>
      </c>
      <c r="G1" s="67" t="s">
        <v>6</v>
      </c>
      <c r="H1" s="67" t="s">
        <v>2063</v>
      </c>
      <c r="I1" s="275" t="s">
        <v>7</v>
      </c>
      <c r="J1" s="275" t="s">
        <v>8</v>
      </c>
      <c r="K1" s="275" t="s">
        <v>9</v>
      </c>
      <c r="L1" s="275" t="s">
        <v>10</v>
      </c>
      <c r="M1" s="275" t="s">
        <v>11</v>
      </c>
      <c r="N1" s="275" t="s">
        <v>12</v>
      </c>
      <c r="O1" s="67" t="s">
        <v>13</v>
      </c>
      <c r="P1" s="67" t="s">
        <v>14</v>
      </c>
      <c r="Q1" s="193" t="s">
        <v>15</v>
      </c>
      <c r="R1" s="67" t="s">
        <v>16</v>
      </c>
      <c r="S1" s="67" t="s">
        <v>17</v>
      </c>
      <c r="T1" s="193" t="s">
        <v>18</v>
      </c>
      <c r="U1" s="67" t="s">
        <v>19</v>
      </c>
      <c r="V1" s="67" t="s">
        <v>20</v>
      </c>
      <c r="W1" s="193" t="s">
        <v>21</v>
      </c>
      <c r="X1" s="67" t="s">
        <v>22</v>
      </c>
      <c r="Y1" s="67" t="s">
        <v>23</v>
      </c>
      <c r="Z1" s="68" t="s">
        <v>24</v>
      </c>
      <c r="AA1" s="69" t="s">
        <v>25</v>
      </c>
      <c r="AB1" s="70" t="s">
        <v>26</v>
      </c>
      <c r="AC1" s="70" t="s">
        <v>27</v>
      </c>
      <c r="AD1" s="71" t="s">
        <v>28</v>
      </c>
      <c r="AE1" s="72" t="s">
        <v>29</v>
      </c>
      <c r="AF1" s="73" t="s">
        <v>30</v>
      </c>
      <c r="AG1" s="19" t="s">
        <v>31</v>
      </c>
      <c r="AH1" s="19" t="s">
        <v>32</v>
      </c>
    </row>
    <row r="2" spans="1:35" s="36" customFormat="1" ht="20.399999999999999">
      <c r="A2" s="119" t="s">
        <v>33</v>
      </c>
      <c r="B2" s="127" t="s">
        <v>34</v>
      </c>
      <c r="C2" s="188" t="s">
        <v>35</v>
      </c>
      <c r="D2" s="150">
        <v>3500</v>
      </c>
      <c r="E2" s="125" t="s">
        <v>36</v>
      </c>
      <c r="F2" s="30" t="s">
        <v>36</v>
      </c>
      <c r="G2" s="30" t="s">
        <v>37</v>
      </c>
      <c r="H2" s="30"/>
      <c r="I2" s="289"/>
      <c r="J2" s="289"/>
      <c r="K2" s="289"/>
      <c r="L2" s="291">
        <v>46007</v>
      </c>
      <c r="M2" s="290" t="s">
        <v>38</v>
      </c>
      <c r="N2" s="278" t="s">
        <v>39</v>
      </c>
      <c r="O2" s="255" t="s">
        <v>40</v>
      </c>
      <c r="P2" s="256" t="s">
        <v>41</v>
      </c>
      <c r="Q2" s="239" t="s">
        <v>42</v>
      </c>
      <c r="R2" s="255" t="s">
        <v>43</v>
      </c>
      <c r="S2" s="256" t="s">
        <v>44</v>
      </c>
      <c r="T2" s="148" t="s">
        <v>45</v>
      </c>
      <c r="U2" s="30" t="s">
        <v>46</v>
      </c>
      <c r="V2" s="32" t="s">
        <v>47</v>
      </c>
      <c r="W2" s="32"/>
      <c r="X2" s="29"/>
      <c r="Y2" s="33"/>
      <c r="Z2" s="124" t="s">
        <v>48</v>
      </c>
      <c r="AA2" s="173" t="s">
        <v>49</v>
      </c>
      <c r="AB2" s="122" t="s">
        <v>50</v>
      </c>
      <c r="AC2" s="121" t="s">
        <v>51</v>
      </c>
      <c r="AD2" s="136" t="s">
        <v>52</v>
      </c>
      <c r="AE2" s="35" t="s">
        <v>53</v>
      </c>
      <c r="AF2" s="36" t="s">
        <v>54</v>
      </c>
      <c r="AG2" s="36" t="s">
        <v>55</v>
      </c>
    </row>
    <row r="3" spans="1:35" s="36" customFormat="1">
      <c r="A3" s="119" t="s">
        <v>56</v>
      </c>
      <c r="B3" s="127" t="s">
        <v>57</v>
      </c>
      <c r="C3" s="188" t="s">
        <v>58</v>
      </c>
      <c r="D3" s="150">
        <v>2500</v>
      </c>
      <c r="E3" s="109" t="s">
        <v>59</v>
      </c>
      <c r="F3" s="101" t="s">
        <v>59</v>
      </c>
      <c r="G3" s="30" t="s">
        <v>37</v>
      </c>
      <c r="H3" s="30" t="s">
        <v>54</v>
      </c>
      <c r="I3" s="289" t="s">
        <v>60</v>
      </c>
      <c r="J3" s="289" t="s">
        <v>61</v>
      </c>
      <c r="K3" s="289" t="s">
        <v>62</v>
      </c>
      <c r="L3" s="291">
        <v>46006</v>
      </c>
      <c r="M3" s="290" t="s">
        <v>38</v>
      </c>
      <c r="N3" s="277"/>
      <c r="O3" s="127" t="s">
        <v>61</v>
      </c>
      <c r="P3" s="130" t="s">
        <v>63</v>
      </c>
      <c r="Q3" s="240" t="s">
        <v>64</v>
      </c>
      <c r="R3" s="43"/>
      <c r="S3" s="43"/>
      <c r="T3" s="43"/>
      <c r="U3" s="255" t="s">
        <v>65</v>
      </c>
      <c r="V3" s="256" t="s">
        <v>66</v>
      </c>
      <c r="W3" s="258" t="s">
        <v>67</v>
      </c>
      <c r="X3" s="29"/>
      <c r="Y3" s="33"/>
      <c r="Z3" s="137" t="s">
        <v>63</v>
      </c>
      <c r="AA3" s="173" t="s">
        <v>68</v>
      </c>
      <c r="AB3" s="122" t="s">
        <v>69</v>
      </c>
      <c r="AC3" s="137" t="s">
        <v>70</v>
      </c>
      <c r="AD3" s="136" t="s">
        <v>71</v>
      </c>
      <c r="AE3" s="35" t="s">
        <v>53</v>
      </c>
      <c r="AF3" s="36" t="s">
        <v>54</v>
      </c>
      <c r="AG3" s="64" t="s">
        <v>72</v>
      </c>
      <c r="AH3" s="180" t="s">
        <v>73</v>
      </c>
      <c r="AI3" s="36" t="s">
        <v>74</v>
      </c>
    </row>
    <row r="4" spans="1:35" s="36" customFormat="1" ht="20.399999999999999">
      <c r="A4" s="119" t="s">
        <v>75</v>
      </c>
      <c r="B4" s="128" t="s">
        <v>76</v>
      </c>
      <c r="C4" s="145" t="s">
        <v>77</v>
      </c>
      <c r="D4" s="150">
        <v>2000</v>
      </c>
      <c r="E4" s="125" t="s">
        <v>36</v>
      </c>
      <c r="F4" s="101" t="s">
        <v>36</v>
      </c>
      <c r="G4" s="30" t="s">
        <v>37</v>
      </c>
      <c r="H4" s="30"/>
      <c r="I4" s="289" t="s">
        <v>60</v>
      </c>
      <c r="J4" s="289" t="s">
        <v>78</v>
      </c>
      <c r="K4" s="289" t="s">
        <v>79</v>
      </c>
      <c r="L4" s="291">
        <v>46006</v>
      </c>
      <c r="M4" s="290" t="s">
        <v>38</v>
      </c>
      <c r="N4" s="279"/>
      <c r="O4" s="137" t="s">
        <v>78</v>
      </c>
      <c r="P4" s="137" t="s">
        <v>80</v>
      </c>
      <c r="Q4" s="240">
        <v>51998145547</v>
      </c>
      <c r="R4" s="137" t="s">
        <v>81</v>
      </c>
      <c r="S4" s="137" t="s">
        <v>82</v>
      </c>
      <c r="T4" s="138">
        <v>51933183244</v>
      </c>
      <c r="U4" s="30"/>
      <c r="V4" s="30"/>
      <c r="W4" s="30"/>
      <c r="X4" s="29"/>
      <c r="Y4" s="33"/>
      <c r="Z4" s="137" t="s">
        <v>83</v>
      </c>
      <c r="AA4" s="173" t="s">
        <v>84</v>
      </c>
      <c r="AB4" s="121">
        <v>5116127100</v>
      </c>
      <c r="AC4" s="137">
        <v>20100993237</v>
      </c>
      <c r="AD4" s="144" t="s">
        <v>85</v>
      </c>
      <c r="AE4" s="35" t="s">
        <v>53</v>
      </c>
      <c r="AF4" s="36" t="s">
        <v>54</v>
      </c>
      <c r="AG4" s="36" t="s">
        <v>86</v>
      </c>
    </row>
    <row r="5" spans="1:35" s="36" customFormat="1">
      <c r="A5" s="75" t="s">
        <v>87</v>
      </c>
      <c r="B5" s="29" t="s">
        <v>88</v>
      </c>
      <c r="C5" s="29"/>
      <c r="D5" s="150">
        <v>5000</v>
      </c>
      <c r="E5" s="109" t="s">
        <v>89</v>
      </c>
      <c r="F5" s="30" t="s">
        <v>89</v>
      </c>
      <c r="G5" s="30" t="s">
        <v>90</v>
      </c>
      <c r="H5" s="30" t="s">
        <v>54</v>
      </c>
      <c r="I5" s="289" t="s">
        <v>60</v>
      </c>
      <c r="J5" s="289" t="s">
        <v>91</v>
      </c>
      <c r="K5" s="289" t="s">
        <v>92</v>
      </c>
      <c r="L5" s="291">
        <v>46006</v>
      </c>
      <c r="M5" s="290" t="s">
        <v>38</v>
      </c>
      <c r="N5" s="277"/>
      <c r="O5" s="29" t="s">
        <v>93</v>
      </c>
      <c r="P5" s="31" t="s">
        <v>94</v>
      </c>
      <c r="Q5" s="217" t="s">
        <v>95</v>
      </c>
      <c r="R5" s="30" t="s">
        <v>96</v>
      </c>
      <c r="S5" s="40" t="s">
        <v>97</v>
      </c>
      <c r="T5" s="207"/>
      <c r="U5" s="234" t="s">
        <v>98</v>
      </c>
      <c r="V5" s="45" t="s">
        <v>99</v>
      </c>
      <c r="W5" s="236" t="s">
        <v>100</v>
      </c>
      <c r="X5" s="29"/>
      <c r="Y5" s="33"/>
      <c r="Z5" s="30"/>
      <c r="AA5" s="34" t="s">
        <v>101</v>
      </c>
      <c r="AB5" s="79" t="s">
        <v>102</v>
      </c>
      <c r="AC5" s="79" t="s">
        <v>103</v>
      </c>
      <c r="AD5" s="35" t="s">
        <v>104</v>
      </c>
      <c r="AE5" s="35" t="s">
        <v>53</v>
      </c>
      <c r="AF5" s="36" t="s">
        <v>54</v>
      </c>
      <c r="AG5" s="64" t="s">
        <v>105</v>
      </c>
      <c r="AH5" s="180" t="s">
        <v>106</v>
      </c>
      <c r="AI5" s="36" t="s">
        <v>91</v>
      </c>
    </row>
    <row r="6" spans="1:35" s="36" customFormat="1">
      <c r="A6" s="119" t="s">
        <v>107</v>
      </c>
      <c r="B6" s="127" t="s">
        <v>108</v>
      </c>
      <c r="C6" s="29"/>
      <c r="D6" s="150">
        <v>1500</v>
      </c>
      <c r="E6" s="109" t="s">
        <v>36</v>
      </c>
      <c r="F6" s="30" t="s">
        <v>36</v>
      </c>
      <c r="G6" s="30" t="s">
        <v>37</v>
      </c>
      <c r="H6" s="30"/>
      <c r="I6" s="289" t="s">
        <v>60</v>
      </c>
      <c r="J6" s="289" t="s">
        <v>109</v>
      </c>
      <c r="K6" s="289" t="s">
        <v>92</v>
      </c>
      <c r="L6" s="291">
        <v>46006</v>
      </c>
      <c r="M6" s="290" t="s">
        <v>38</v>
      </c>
      <c r="N6" s="277"/>
      <c r="O6" s="127" t="s">
        <v>110</v>
      </c>
      <c r="P6" s="138" t="s">
        <v>111</v>
      </c>
      <c r="Q6" s="240" t="s">
        <v>112</v>
      </c>
      <c r="R6" s="127" t="s">
        <v>113</v>
      </c>
      <c r="S6" s="127" t="s">
        <v>114</v>
      </c>
      <c r="T6" s="127">
        <v>593968623213</v>
      </c>
      <c r="U6" s="30"/>
      <c r="V6" s="30"/>
      <c r="W6" s="30"/>
      <c r="X6" s="29"/>
      <c r="Y6" s="33"/>
      <c r="Z6" s="259" t="s">
        <v>114</v>
      </c>
      <c r="AA6" s="173" t="s">
        <v>115</v>
      </c>
      <c r="AB6" s="122" t="s">
        <v>116</v>
      </c>
      <c r="AC6" s="121">
        <v>1791118111001</v>
      </c>
      <c r="AD6" s="136" t="s">
        <v>117</v>
      </c>
      <c r="AE6" s="35" t="s">
        <v>53</v>
      </c>
      <c r="AF6" s="36" t="s">
        <v>54</v>
      </c>
      <c r="AG6" s="36" t="s">
        <v>72</v>
      </c>
    </row>
    <row r="7" spans="1:35" s="48" customFormat="1">
      <c r="A7" s="77" t="s">
        <v>118</v>
      </c>
      <c r="B7" s="42" t="s">
        <v>108</v>
      </c>
      <c r="C7" s="42"/>
      <c r="D7" s="151">
        <v>2000</v>
      </c>
      <c r="E7" s="110" t="s">
        <v>36</v>
      </c>
      <c r="F7" s="43" t="s">
        <v>36</v>
      </c>
      <c r="G7" s="30" t="s">
        <v>37</v>
      </c>
      <c r="H7" s="30"/>
      <c r="I7" s="288"/>
      <c r="J7" s="288"/>
      <c r="K7" s="288"/>
      <c r="L7" s="292">
        <v>46006</v>
      </c>
      <c r="M7" s="293" t="s">
        <v>38</v>
      </c>
      <c r="N7" s="281" t="s">
        <v>119</v>
      </c>
      <c r="O7" s="78" t="s">
        <v>120</v>
      </c>
      <c r="P7" s="44" t="s">
        <v>121</v>
      </c>
      <c r="Q7" s="241">
        <v>989392148</v>
      </c>
      <c r="R7" s="42"/>
      <c r="S7" s="44"/>
      <c r="T7" s="44"/>
      <c r="U7" s="43" t="s">
        <v>122</v>
      </c>
      <c r="V7" s="45" t="s">
        <v>123</v>
      </c>
      <c r="W7" s="180" t="s">
        <v>124</v>
      </c>
      <c r="X7" s="43" t="s">
        <v>122</v>
      </c>
      <c r="Y7" s="45" t="s">
        <v>123</v>
      </c>
      <c r="Z7" s="45" t="s">
        <v>123</v>
      </c>
      <c r="AA7" s="46" t="s">
        <v>125</v>
      </c>
      <c r="AB7" s="47">
        <v>999850838</v>
      </c>
      <c r="AC7" s="47">
        <v>1792812054001</v>
      </c>
      <c r="AD7" s="47" t="s">
        <v>126</v>
      </c>
      <c r="AE7" s="47"/>
      <c r="AF7" s="36" t="s">
        <v>54</v>
      </c>
      <c r="AG7" s="48" t="s">
        <v>127</v>
      </c>
      <c r="AH7" s="180" t="s">
        <v>124</v>
      </c>
      <c r="AI7" s="48" t="s">
        <v>128</v>
      </c>
    </row>
    <row r="8" spans="1:35" s="36" customFormat="1">
      <c r="A8" s="75" t="s">
        <v>129</v>
      </c>
      <c r="B8" s="29" t="s">
        <v>130</v>
      </c>
      <c r="C8" s="29"/>
      <c r="D8" s="150">
        <v>2500</v>
      </c>
      <c r="E8" s="109" t="s">
        <v>131</v>
      </c>
      <c r="F8" s="30" t="s">
        <v>131</v>
      </c>
      <c r="G8" s="30" t="s">
        <v>37</v>
      </c>
      <c r="H8" s="30" t="s">
        <v>54</v>
      </c>
      <c r="I8" s="289" t="s">
        <v>60</v>
      </c>
      <c r="J8" s="289" t="s">
        <v>132</v>
      </c>
      <c r="K8" s="289" t="s">
        <v>133</v>
      </c>
      <c r="L8" s="291">
        <v>46006</v>
      </c>
      <c r="M8" s="290" t="s">
        <v>38</v>
      </c>
      <c r="N8" s="277"/>
      <c r="O8" s="29" t="s">
        <v>134</v>
      </c>
      <c r="P8" s="31" t="s">
        <v>135</v>
      </c>
      <c r="Q8" s="239"/>
      <c r="R8" s="43"/>
      <c r="S8" s="43"/>
      <c r="T8" s="43"/>
      <c r="U8" s="43"/>
      <c r="V8" s="43"/>
      <c r="W8" s="43"/>
      <c r="X8" s="29"/>
      <c r="Y8" s="33"/>
      <c r="Z8" s="32" t="s">
        <v>136</v>
      </c>
      <c r="AA8" s="34" t="s">
        <v>137</v>
      </c>
      <c r="AB8" s="35" t="s">
        <v>138</v>
      </c>
      <c r="AC8" s="35"/>
      <c r="AD8" s="35" t="s">
        <v>139</v>
      </c>
      <c r="AE8" s="35"/>
      <c r="AF8" s="36" t="s">
        <v>54</v>
      </c>
      <c r="AG8" s="64" t="s">
        <v>140</v>
      </c>
      <c r="AH8" s="180" t="s">
        <v>141</v>
      </c>
      <c r="AI8" s="36" t="s">
        <v>142</v>
      </c>
    </row>
    <row r="9" spans="1:35" s="36" customFormat="1" ht="20.399999999999999">
      <c r="A9" s="75" t="s">
        <v>143</v>
      </c>
      <c r="B9" s="29" t="s">
        <v>88</v>
      </c>
      <c r="C9" s="29"/>
      <c r="D9" s="150">
        <v>5000</v>
      </c>
      <c r="E9" s="109" t="s">
        <v>89</v>
      </c>
      <c r="F9" s="30" t="s">
        <v>89</v>
      </c>
      <c r="G9" s="30" t="s">
        <v>90</v>
      </c>
      <c r="H9" s="30"/>
      <c r="I9" s="289" t="s">
        <v>60</v>
      </c>
      <c r="J9" s="289" t="s">
        <v>144</v>
      </c>
      <c r="K9" s="289"/>
      <c r="L9" s="291">
        <v>46006</v>
      </c>
      <c r="M9" s="290" t="s">
        <v>38</v>
      </c>
      <c r="N9" s="276" t="s">
        <v>145</v>
      </c>
      <c r="O9" s="29" t="s">
        <v>144</v>
      </c>
      <c r="P9" s="31" t="s">
        <v>146</v>
      </c>
      <c r="Q9" s="217" t="s">
        <v>147</v>
      </c>
      <c r="R9" s="29"/>
      <c r="S9" s="33"/>
      <c r="T9" s="196"/>
      <c r="U9" s="29" t="s">
        <v>148</v>
      </c>
      <c r="V9" s="33" t="s">
        <v>149</v>
      </c>
      <c r="W9" s="196"/>
      <c r="X9" s="29"/>
      <c r="Y9" s="33"/>
      <c r="Z9" s="30"/>
      <c r="AA9" s="34" t="s">
        <v>150</v>
      </c>
      <c r="AB9" s="35">
        <v>6015188801</v>
      </c>
      <c r="AC9" s="35" t="s">
        <v>151</v>
      </c>
      <c r="AD9" s="35" t="s">
        <v>152</v>
      </c>
      <c r="AE9" s="35" t="s">
        <v>53</v>
      </c>
      <c r="AF9" s="36" t="s">
        <v>54</v>
      </c>
      <c r="AG9" s="64" t="s">
        <v>153</v>
      </c>
      <c r="AH9" s="180" t="s">
        <v>154</v>
      </c>
      <c r="AI9" s="36" t="s">
        <v>155</v>
      </c>
    </row>
    <row r="10" spans="1:35" s="36" customFormat="1" ht="20.399999999999999">
      <c r="A10" s="119" t="s">
        <v>156</v>
      </c>
      <c r="B10" s="127" t="s">
        <v>157</v>
      </c>
      <c r="C10" s="127" t="s">
        <v>158</v>
      </c>
      <c r="D10" s="150">
        <v>1000</v>
      </c>
      <c r="E10" s="125" t="s">
        <v>159</v>
      </c>
      <c r="F10" s="30" t="s">
        <v>160</v>
      </c>
      <c r="G10" s="30" t="s">
        <v>37</v>
      </c>
      <c r="H10" s="30" t="s">
        <v>54</v>
      </c>
      <c r="I10" s="289"/>
      <c r="J10" s="289"/>
      <c r="K10" s="289"/>
      <c r="L10" s="291">
        <v>46006</v>
      </c>
      <c r="M10" s="290" t="s">
        <v>161</v>
      </c>
      <c r="N10" s="276" t="s">
        <v>162</v>
      </c>
      <c r="O10" s="127" t="s">
        <v>163</v>
      </c>
      <c r="P10" s="130" t="s">
        <v>164</v>
      </c>
      <c r="Q10" s="247">
        <v>1151630880</v>
      </c>
      <c r="R10" s="147" t="s">
        <v>165</v>
      </c>
      <c r="S10" s="257" t="s">
        <v>166</v>
      </c>
      <c r="T10" s="148">
        <v>1151630880</v>
      </c>
      <c r="U10" s="147" t="s">
        <v>167</v>
      </c>
      <c r="V10" s="257" t="s">
        <v>168</v>
      </c>
      <c r="W10" s="148">
        <v>1162080882</v>
      </c>
      <c r="X10" s="29"/>
      <c r="Y10" s="33"/>
      <c r="Z10" s="137" t="s">
        <v>169</v>
      </c>
      <c r="AA10" s="137" t="s">
        <v>170</v>
      </c>
      <c r="AB10" s="122" t="s">
        <v>171</v>
      </c>
      <c r="AC10" s="137">
        <v>20261654661</v>
      </c>
      <c r="AD10" s="144" t="s">
        <v>172</v>
      </c>
      <c r="AE10" s="35" t="s">
        <v>53</v>
      </c>
      <c r="AF10" s="36" t="s">
        <v>54</v>
      </c>
      <c r="AG10" s="36" t="s">
        <v>173</v>
      </c>
      <c r="AH10" s="181">
        <v>5491151630880</v>
      </c>
      <c r="AI10" s="36" t="s">
        <v>163</v>
      </c>
    </row>
    <row r="11" spans="1:35" s="36" customFormat="1">
      <c r="A11" s="119" t="s">
        <v>174</v>
      </c>
      <c r="B11" s="127" t="s">
        <v>157</v>
      </c>
      <c r="C11" s="145" t="s">
        <v>175</v>
      </c>
      <c r="D11" s="150">
        <v>2000</v>
      </c>
      <c r="E11" s="125" t="s">
        <v>176</v>
      </c>
      <c r="F11" s="30" t="s">
        <v>176</v>
      </c>
      <c r="G11" s="30" t="s">
        <v>37</v>
      </c>
      <c r="H11" s="30"/>
      <c r="I11" s="289" t="s">
        <v>60</v>
      </c>
      <c r="J11" s="289" t="s">
        <v>177</v>
      </c>
      <c r="K11" s="289" t="s">
        <v>178</v>
      </c>
      <c r="L11" s="291">
        <v>46006</v>
      </c>
      <c r="M11" s="290" t="s">
        <v>38</v>
      </c>
      <c r="N11" s="277"/>
      <c r="O11" s="127" t="s">
        <v>179</v>
      </c>
      <c r="P11" s="130" t="s">
        <v>180</v>
      </c>
      <c r="Q11" s="240" t="s">
        <v>181</v>
      </c>
      <c r="R11" s="137" t="s">
        <v>182</v>
      </c>
      <c r="S11" s="147" t="s">
        <v>183</v>
      </c>
      <c r="T11" s="258" t="s">
        <v>184</v>
      </c>
      <c r="U11" s="137" t="s">
        <v>185</v>
      </c>
      <c r="V11" s="147" t="s">
        <v>186</v>
      </c>
      <c r="W11" s="258" t="s">
        <v>187</v>
      </c>
      <c r="X11" s="29"/>
      <c r="Y11" s="33"/>
      <c r="Z11" s="137" t="s">
        <v>188</v>
      </c>
      <c r="AA11" s="173" t="s">
        <v>189</v>
      </c>
      <c r="AB11" s="121" t="s">
        <v>190</v>
      </c>
      <c r="AC11" s="145" t="s">
        <v>191</v>
      </c>
      <c r="AD11" s="136" t="s">
        <v>192</v>
      </c>
      <c r="AE11" s="35" t="s">
        <v>53</v>
      </c>
      <c r="AF11" s="36" t="s">
        <v>54</v>
      </c>
      <c r="AG11" s="36" t="s">
        <v>193</v>
      </c>
      <c r="AH11" s="180" t="s">
        <v>194</v>
      </c>
      <c r="AI11" s="36" t="s">
        <v>195</v>
      </c>
    </row>
    <row r="12" spans="1:35" s="36" customFormat="1">
      <c r="A12" s="119" t="s">
        <v>196</v>
      </c>
      <c r="B12" s="127" t="s">
        <v>197</v>
      </c>
      <c r="C12" s="127" t="s">
        <v>198</v>
      </c>
      <c r="D12" s="150">
        <v>1000</v>
      </c>
      <c r="E12" s="125" t="s">
        <v>199</v>
      </c>
      <c r="F12" s="30" t="s">
        <v>200</v>
      </c>
      <c r="G12" s="30" t="s">
        <v>37</v>
      </c>
      <c r="H12" s="30"/>
      <c r="I12" s="289" t="s">
        <v>60</v>
      </c>
      <c r="J12" s="289" t="s">
        <v>201</v>
      </c>
      <c r="K12" s="289" t="s">
        <v>202</v>
      </c>
      <c r="L12" s="291">
        <v>46006</v>
      </c>
      <c r="M12" s="290" t="s">
        <v>38</v>
      </c>
      <c r="N12" s="277"/>
      <c r="O12" s="127" t="s">
        <v>203</v>
      </c>
      <c r="P12" s="130" t="s">
        <v>204</v>
      </c>
      <c r="Q12" s="247">
        <v>56994321714</v>
      </c>
      <c r="R12" s="137">
        <v>56994321714</v>
      </c>
      <c r="S12" s="43"/>
      <c r="T12" s="43"/>
      <c r="U12" s="43"/>
      <c r="V12" s="43"/>
      <c r="W12" s="43"/>
      <c r="X12" s="29"/>
      <c r="Y12" s="33"/>
      <c r="Z12" s="137" t="s">
        <v>204</v>
      </c>
      <c r="AA12" s="172" t="s">
        <v>205</v>
      </c>
      <c r="AB12" s="129" t="s">
        <v>206</v>
      </c>
      <c r="AC12" s="129" t="s">
        <v>207</v>
      </c>
      <c r="AD12" s="136" t="s">
        <v>208</v>
      </c>
      <c r="AE12" s="36" t="s">
        <v>53</v>
      </c>
      <c r="AF12" s="36" t="s">
        <v>54</v>
      </c>
      <c r="AG12" s="36" t="s">
        <v>173</v>
      </c>
      <c r="AH12" s="180" t="s">
        <v>209</v>
      </c>
      <c r="AI12" s="36" t="s">
        <v>210</v>
      </c>
    </row>
    <row r="13" spans="1:35" s="36" customFormat="1" ht="72">
      <c r="A13" s="119" t="s">
        <v>211</v>
      </c>
      <c r="B13" s="29" t="s">
        <v>88</v>
      </c>
      <c r="C13" s="29"/>
      <c r="D13" s="150">
        <v>5000</v>
      </c>
      <c r="E13" s="109" t="s">
        <v>212</v>
      </c>
      <c r="F13" s="30" t="s">
        <v>212</v>
      </c>
      <c r="G13" s="30" t="s">
        <v>37</v>
      </c>
      <c r="H13" s="30" t="s">
        <v>54</v>
      </c>
      <c r="I13" s="289" t="s">
        <v>60</v>
      </c>
      <c r="J13" s="289" t="s">
        <v>213</v>
      </c>
      <c r="K13" s="289" t="s">
        <v>214</v>
      </c>
      <c r="L13" s="291">
        <v>46007</v>
      </c>
      <c r="M13" s="290" t="s">
        <v>38</v>
      </c>
      <c r="N13" s="276"/>
      <c r="O13" s="127" t="s">
        <v>215</v>
      </c>
      <c r="P13" s="130" t="s">
        <v>216</v>
      </c>
      <c r="Q13" s="273" t="s">
        <v>217</v>
      </c>
      <c r="R13" s="43"/>
      <c r="S13" s="43"/>
      <c r="T13" s="43"/>
      <c r="U13" s="43"/>
      <c r="V13" s="43"/>
      <c r="W13" s="43"/>
      <c r="X13" s="29"/>
      <c r="Y13" s="33"/>
      <c r="Z13" s="30"/>
      <c r="AA13" s="120" t="s">
        <v>218</v>
      </c>
      <c r="AB13" s="35" t="s">
        <v>219</v>
      </c>
      <c r="AC13" s="121" t="s">
        <v>220</v>
      </c>
      <c r="AD13" s="35" t="s">
        <v>221</v>
      </c>
      <c r="AE13" s="35" t="s">
        <v>53</v>
      </c>
      <c r="AF13" s="36" t="s">
        <v>54</v>
      </c>
      <c r="AG13" s="64" t="s">
        <v>222</v>
      </c>
      <c r="AH13" s="36">
        <v>34660923880</v>
      </c>
      <c r="AI13" s="36" t="s">
        <v>223</v>
      </c>
    </row>
    <row r="14" spans="1:35" s="48" customFormat="1" ht="20.399999999999999">
      <c r="A14" s="119" t="s">
        <v>224</v>
      </c>
      <c r="B14" s="127" t="s">
        <v>197</v>
      </c>
      <c r="C14" s="188" t="s">
        <v>225</v>
      </c>
      <c r="D14" s="151">
        <v>2000</v>
      </c>
      <c r="E14" s="125" t="s">
        <v>59</v>
      </c>
      <c r="F14" s="43" t="s">
        <v>59</v>
      </c>
      <c r="G14" s="30" t="s">
        <v>37</v>
      </c>
      <c r="H14" s="30"/>
      <c r="I14" s="288"/>
      <c r="J14" s="288"/>
      <c r="K14" s="288"/>
      <c r="L14" s="292">
        <v>46006</v>
      </c>
      <c r="M14" s="293" t="s">
        <v>38</v>
      </c>
      <c r="N14" s="280" t="s">
        <v>226</v>
      </c>
      <c r="O14" s="310" t="s">
        <v>227</v>
      </c>
      <c r="P14" s="311" t="s">
        <v>228</v>
      </c>
      <c r="Q14" s="309">
        <v>56956528157</v>
      </c>
      <c r="R14" s="312"/>
      <c r="S14" s="43"/>
      <c r="T14" s="43"/>
      <c r="U14" s="43"/>
      <c r="V14" s="43"/>
      <c r="W14" s="43"/>
      <c r="X14" s="42"/>
      <c r="Y14" s="52"/>
      <c r="Z14" s="304" t="s">
        <v>228</v>
      </c>
      <c r="AA14" s="120" t="s">
        <v>229</v>
      </c>
      <c r="AB14" s="129" t="s">
        <v>230</v>
      </c>
      <c r="AC14" s="129" t="s">
        <v>231</v>
      </c>
      <c r="AD14" s="136" t="s">
        <v>232</v>
      </c>
      <c r="AE14" s="48" t="s">
        <v>53</v>
      </c>
      <c r="AF14" s="36" t="s">
        <v>54</v>
      </c>
      <c r="AG14" s="59" t="s">
        <v>233</v>
      </c>
    </row>
    <row r="15" spans="1:35" s="48" customFormat="1">
      <c r="A15" s="119" t="s">
        <v>234</v>
      </c>
      <c r="B15" s="127" t="s">
        <v>235</v>
      </c>
      <c r="C15" s="127" t="s">
        <v>235</v>
      </c>
      <c r="D15" s="151">
        <v>2500</v>
      </c>
      <c r="E15" s="146" t="s">
        <v>236</v>
      </c>
      <c r="F15" s="43" t="s">
        <v>59</v>
      </c>
      <c r="G15" s="30" t="s">
        <v>37</v>
      </c>
      <c r="H15" s="30" t="s">
        <v>54</v>
      </c>
      <c r="I15" s="289" t="s">
        <v>60</v>
      </c>
      <c r="J15" s="288" t="s">
        <v>237</v>
      </c>
      <c r="K15" s="288" t="s">
        <v>238</v>
      </c>
      <c r="L15" s="292">
        <v>46006</v>
      </c>
      <c r="M15" s="293" t="s">
        <v>38</v>
      </c>
      <c r="N15" s="281"/>
      <c r="O15" s="127" t="s">
        <v>239</v>
      </c>
      <c r="P15" s="130" t="s">
        <v>240</v>
      </c>
      <c r="Q15" s="240">
        <v>5491135607703</v>
      </c>
      <c r="R15" s="43"/>
      <c r="S15" s="43"/>
      <c r="T15" s="43"/>
      <c r="U15" s="43"/>
      <c r="V15" s="43"/>
      <c r="W15" s="43"/>
      <c r="X15" s="42"/>
      <c r="Y15" s="52"/>
      <c r="Z15" s="304" t="s">
        <v>240</v>
      </c>
      <c r="AA15" s="120" t="s">
        <v>241</v>
      </c>
      <c r="AB15" s="129" t="s">
        <v>242</v>
      </c>
      <c r="AC15" s="129">
        <v>30711530238</v>
      </c>
      <c r="AD15" s="136" t="s">
        <v>243</v>
      </c>
      <c r="AE15" s="47" t="s">
        <v>53</v>
      </c>
      <c r="AF15" s="36" t="s">
        <v>54</v>
      </c>
      <c r="AG15" s="59" t="s">
        <v>244</v>
      </c>
      <c r="AH15" s="180" t="s">
        <v>245</v>
      </c>
      <c r="AI15" s="48" t="s">
        <v>246</v>
      </c>
    </row>
    <row r="16" spans="1:35" s="36" customFormat="1">
      <c r="A16" s="119" t="s">
        <v>247</v>
      </c>
      <c r="B16" s="127" t="s">
        <v>88</v>
      </c>
      <c r="C16" s="145" t="s">
        <v>248</v>
      </c>
      <c r="D16" s="150">
        <v>5000</v>
      </c>
      <c r="E16" s="125" t="s">
        <v>212</v>
      </c>
      <c r="F16" s="30" t="s">
        <v>212</v>
      </c>
      <c r="G16" s="30" t="s">
        <v>37</v>
      </c>
      <c r="H16" s="30" t="s">
        <v>54</v>
      </c>
      <c r="I16" s="289" t="s">
        <v>60</v>
      </c>
      <c r="J16" s="289" t="s">
        <v>249</v>
      </c>
      <c r="K16" s="289"/>
      <c r="L16" s="291">
        <v>46006</v>
      </c>
      <c r="M16" s="290" t="s">
        <v>38</v>
      </c>
      <c r="N16" s="276" t="s">
        <v>250</v>
      </c>
      <c r="O16" s="127" t="s">
        <v>251</v>
      </c>
      <c r="P16" s="130" t="s">
        <v>252</v>
      </c>
      <c r="Q16" s="247">
        <v>3157314552</v>
      </c>
      <c r="R16" s="255" t="s">
        <v>253</v>
      </c>
      <c r="S16" s="256" t="s">
        <v>254</v>
      </c>
      <c r="T16" s="148">
        <v>3132970522</v>
      </c>
      <c r="U16" s="43"/>
      <c r="V16" s="43"/>
      <c r="W16" s="43"/>
      <c r="X16" s="29"/>
      <c r="Y16" s="33"/>
      <c r="Z16" s="137" t="s">
        <v>255</v>
      </c>
      <c r="AA16" s="145" t="s">
        <v>256</v>
      </c>
      <c r="AB16" s="121" t="s">
        <v>257</v>
      </c>
      <c r="AC16" s="121" t="s">
        <v>258</v>
      </c>
      <c r="AD16" s="136" t="s">
        <v>259</v>
      </c>
      <c r="AE16" s="35" t="s">
        <v>53</v>
      </c>
      <c r="AF16" s="36" t="s">
        <v>54</v>
      </c>
      <c r="AG16" s="64" t="s">
        <v>173</v>
      </c>
      <c r="AH16" s="180" t="s">
        <v>260</v>
      </c>
      <c r="AI16" s="36" t="s">
        <v>261</v>
      </c>
    </row>
    <row r="17" spans="1:35" s="36" customFormat="1" ht="28.8">
      <c r="A17" s="75" t="s">
        <v>262</v>
      </c>
      <c r="B17" s="29" t="s">
        <v>263</v>
      </c>
      <c r="C17" s="29"/>
      <c r="D17" s="150">
        <v>2500</v>
      </c>
      <c r="E17" s="109" t="s">
        <v>89</v>
      </c>
      <c r="F17" s="30" t="s">
        <v>89</v>
      </c>
      <c r="G17" s="30" t="s">
        <v>90</v>
      </c>
      <c r="H17" s="30"/>
      <c r="I17" s="289"/>
      <c r="J17" s="289"/>
      <c r="K17" s="289"/>
      <c r="L17" s="291">
        <v>46006</v>
      </c>
      <c r="M17" s="290" t="s">
        <v>38</v>
      </c>
      <c r="N17" s="277" t="s">
        <v>264</v>
      </c>
      <c r="O17" s="29" t="s">
        <v>265</v>
      </c>
      <c r="P17" s="31" t="s">
        <v>266</v>
      </c>
      <c r="Q17" s="243" t="s">
        <v>267</v>
      </c>
      <c r="R17" s="43"/>
      <c r="S17" s="43"/>
      <c r="T17" s="202"/>
      <c r="U17" s="43"/>
      <c r="V17" s="43"/>
      <c r="W17" s="202"/>
      <c r="X17" s="29"/>
      <c r="Y17" s="33"/>
      <c r="Z17" s="30"/>
      <c r="AA17" s="55" t="s">
        <v>268</v>
      </c>
      <c r="AB17" s="35">
        <v>25032700</v>
      </c>
      <c r="AC17" s="79" t="s">
        <v>269</v>
      </c>
      <c r="AD17" s="35" t="s">
        <v>270</v>
      </c>
      <c r="AE17" s="35"/>
      <c r="AF17" s="36" t="s">
        <v>54</v>
      </c>
      <c r="AG17" s="36" t="s">
        <v>271</v>
      </c>
    </row>
    <row r="18" spans="1:35" s="36" customFormat="1" ht="28.8">
      <c r="A18" s="119" t="s">
        <v>272</v>
      </c>
      <c r="B18" s="127" t="s">
        <v>157</v>
      </c>
      <c r="C18" s="127" t="s">
        <v>198</v>
      </c>
      <c r="D18" s="150">
        <v>2500</v>
      </c>
      <c r="E18" s="125" t="s">
        <v>89</v>
      </c>
      <c r="F18" s="30" t="s">
        <v>89</v>
      </c>
      <c r="G18" s="30" t="s">
        <v>90</v>
      </c>
      <c r="H18" s="30"/>
      <c r="I18" s="289" t="s">
        <v>60</v>
      </c>
      <c r="J18" s="289" t="s">
        <v>273</v>
      </c>
      <c r="K18" s="289" t="s">
        <v>274</v>
      </c>
      <c r="L18" s="291">
        <v>46006</v>
      </c>
      <c r="M18" s="290" t="s">
        <v>38</v>
      </c>
      <c r="N18" s="277"/>
      <c r="O18" s="127" t="s">
        <v>273</v>
      </c>
      <c r="P18" s="130" t="s">
        <v>275</v>
      </c>
      <c r="Q18" s="218" t="s">
        <v>276</v>
      </c>
      <c r="R18" s="147" t="s">
        <v>277</v>
      </c>
      <c r="S18" s="148" t="s">
        <v>278</v>
      </c>
      <c r="T18" s="203" t="s">
        <v>279</v>
      </c>
      <c r="U18" s="43"/>
      <c r="V18" s="43"/>
      <c r="W18" s="202"/>
      <c r="X18" s="29"/>
      <c r="Y18" s="33"/>
      <c r="Z18" s="137" t="s">
        <v>280</v>
      </c>
      <c r="AA18" s="120" t="s">
        <v>281</v>
      </c>
      <c r="AB18" s="122" t="s">
        <v>282</v>
      </c>
      <c r="AC18" s="137">
        <v>30709541036</v>
      </c>
      <c r="AD18" s="136" t="s">
        <v>283</v>
      </c>
      <c r="AE18" s="35" t="s">
        <v>53</v>
      </c>
      <c r="AF18" s="36" t="s">
        <v>54</v>
      </c>
      <c r="AG18" s="36" t="s">
        <v>284</v>
      </c>
    </row>
    <row r="19" spans="1:35" s="36" customFormat="1" ht="28.8">
      <c r="A19" s="119" t="s">
        <v>285</v>
      </c>
      <c r="B19" s="127" t="s">
        <v>157</v>
      </c>
      <c r="C19" s="145" t="s">
        <v>286</v>
      </c>
      <c r="D19" s="150">
        <v>3500</v>
      </c>
      <c r="E19" s="125" t="s">
        <v>59</v>
      </c>
      <c r="F19" s="30" t="s">
        <v>59</v>
      </c>
      <c r="G19" s="30" t="s">
        <v>37</v>
      </c>
      <c r="H19" s="30"/>
      <c r="I19" s="289" t="s">
        <v>60</v>
      </c>
      <c r="J19" s="289" t="s">
        <v>287</v>
      </c>
      <c r="K19" s="289" t="s">
        <v>288</v>
      </c>
      <c r="L19" s="291">
        <v>46006</v>
      </c>
      <c r="M19" s="290" t="s">
        <v>289</v>
      </c>
      <c r="N19" s="277"/>
      <c r="O19" s="127" t="s">
        <v>290</v>
      </c>
      <c r="P19" s="130" t="s">
        <v>291</v>
      </c>
      <c r="Q19" s="240">
        <v>34660286766</v>
      </c>
      <c r="R19" s="137" t="s">
        <v>292</v>
      </c>
      <c r="S19" s="137" t="s">
        <v>293</v>
      </c>
      <c r="T19" s="135" t="s">
        <v>294</v>
      </c>
      <c r="U19" s="127" t="s">
        <v>295</v>
      </c>
      <c r="V19" s="131" t="s">
        <v>296</v>
      </c>
      <c r="W19" s="131" t="s">
        <v>297</v>
      </c>
      <c r="X19" s="29"/>
      <c r="Y19" s="56"/>
      <c r="Z19" s="137" t="s">
        <v>298</v>
      </c>
      <c r="AA19" s="120" t="s">
        <v>299</v>
      </c>
      <c r="AB19" s="122" t="s">
        <v>300</v>
      </c>
      <c r="AC19" s="145" t="s">
        <v>301</v>
      </c>
      <c r="AD19" s="136" t="s">
        <v>302</v>
      </c>
      <c r="AE19" s="35" t="s">
        <v>53</v>
      </c>
      <c r="AF19" s="36" t="s">
        <v>54</v>
      </c>
      <c r="AG19" s="36" t="s">
        <v>193</v>
      </c>
      <c r="AH19" s="180" t="s">
        <v>303</v>
      </c>
      <c r="AI19" s="36" t="s">
        <v>304</v>
      </c>
    </row>
    <row r="20" spans="1:35" s="36" customFormat="1">
      <c r="A20" s="119" t="s">
        <v>305</v>
      </c>
      <c r="B20" s="127" t="s">
        <v>306</v>
      </c>
      <c r="C20" s="145" t="s">
        <v>307</v>
      </c>
      <c r="D20" s="150">
        <v>2500</v>
      </c>
      <c r="E20" s="125" t="s">
        <v>212</v>
      </c>
      <c r="F20" s="30" t="s">
        <v>212</v>
      </c>
      <c r="G20" s="30" t="s">
        <v>37</v>
      </c>
      <c r="H20" s="30"/>
      <c r="I20" s="289"/>
      <c r="J20" s="289"/>
      <c r="K20" s="289"/>
      <c r="L20" s="291">
        <v>46006</v>
      </c>
      <c r="M20" s="290" t="s">
        <v>38</v>
      </c>
      <c r="N20" s="282" t="s">
        <v>308</v>
      </c>
      <c r="O20" s="255" t="s">
        <v>309</v>
      </c>
      <c r="P20" s="148" t="s">
        <v>310</v>
      </c>
      <c r="Q20" s="247">
        <v>3166818767</v>
      </c>
      <c r="R20" s="126"/>
      <c r="S20" s="126"/>
      <c r="T20" s="137"/>
      <c r="U20" s="38" t="s">
        <v>311</v>
      </c>
      <c r="V20" s="39" t="s">
        <v>312</v>
      </c>
      <c r="W20" s="39"/>
      <c r="X20" s="29"/>
      <c r="Y20" s="33"/>
      <c r="Z20" s="137" t="s">
        <v>310</v>
      </c>
      <c r="AA20" s="259" t="s">
        <v>313</v>
      </c>
      <c r="AB20" s="79" t="s">
        <v>314</v>
      </c>
      <c r="AC20" s="121">
        <v>9013827867</v>
      </c>
      <c r="AD20" s="144" t="s">
        <v>315</v>
      </c>
      <c r="AE20" s="35" t="s">
        <v>53</v>
      </c>
      <c r="AF20" s="36" t="s">
        <v>54</v>
      </c>
      <c r="AG20" s="64" t="s">
        <v>316</v>
      </c>
      <c r="AH20" s="180" t="s">
        <v>317</v>
      </c>
      <c r="AI20" s="36" t="s">
        <v>318</v>
      </c>
    </row>
    <row r="21" spans="1:35" s="36" customFormat="1">
      <c r="A21" s="119" t="s">
        <v>319</v>
      </c>
      <c r="B21" s="127" t="s">
        <v>76</v>
      </c>
      <c r="C21" s="127" t="s">
        <v>76</v>
      </c>
      <c r="D21" s="150">
        <v>2500</v>
      </c>
      <c r="E21" s="125" t="s">
        <v>89</v>
      </c>
      <c r="F21" s="30" t="s">
        <v>89</v>
      </c>
      <c r="G21" s="30" t="s">
        <v>90</v>
      </c>
      <c r="H21" s="30"/>
      <c r="I21" s="289" t="s">
        <v>60</v>
      </c>
      <c r="J21" s="289" t="s">
        <v>320</v>
      </c>
      <c r="K21" s="289" t="s">
        <v>321</v>
      </c>
      <c r="L21" s="291">
        <v>46006</v>
      </c>
      <c r="M21" s="290" t="s">
        <v>38</v>
      </c>
      <c r="N21" s="277"/>
      <c r="O21" s="126" t="s">
        <v>320</v>
      </c>
      <c r="P21" s="124" t="s">
        <v>322</v>
      </c>
      <c r="Q21" s="219" t="s">
        <v>323</v>
      </c>
      <c r="R21" s="126" t="s">
        <v>324</v>
      </c>
      <c r="S21" s="124" t="s">
        <v>325</v>
      </c>
      <c r="T21" s="197" t="s">
        <v>326</v>
      </c>
      <c r="U21" s="126" t="s">
        <v>327</v>
      </c>
      <c r="V21" s="124" t="s">
        <v>328</v>
      </c>
      <c r="W21" s="197" t="s">
        <v>329</v>
      </c>
      <c r="X21" s="30"/>
      <c r="Y21" s="32"/>
      <c r="Z21" s="124" t="s">
        <v>322</v>
      </c>
      <c r="AA21" s="120" t="s">
        <v>330</v>
      </c>
      <c r="AB21" s="121" t="s">
        <v>331</v>
      </c>
      <c r="AC21" s="122" t="s">
        <v>332</v>
      </c>
      <c r="AD21" s="123" t="s">
        <v>333</v>
      </c>
      <c r="AE21" s="35" t="s">
        <v>53</v>
      </c>
      <c r="AF21" s="36" t="s">
        <v>60</v>
      </c>
      <c r="AG21" s="36" t="s">
        <v>334</v>
      </c>
    </row>
    <row r="22" spans="1:35" s="36" customFormat="1">
      <c r="A22" s="119" t="s">
        <v>335</v>
      </c>
      <c r="B22" s="127" t="s">
        <v>336</v>
      </c>
      <c r="C22" s="127" t="s">
        <v>336</v>
      </c>
      <c r="D22" s="151">
        <v>1500</v>
      </c>
      <c r="E22" s="125" t="s">
        <v>337</v>
      </c>
      <c r="F22" s="43" t="s">
        <v>89</v>
      </c>
      <c r="G22" s="30" t="s">
        <v>90</v>
      </c>
      <c r="H22" s="30"/>
      <c r="I22" s="289" t="s">
        <v>338</v>
      </c>
      <c r="J22" s="289" t="s">
        <v>339</v>
      </c>
      <c r="K22" s="289" t="s">
        <v>340</v>
      </c>
      <c r="L22" s="291">
        <v>46007</v>
      </c>
      <c r="M22" s="290" t="s">
        <v>289</v>
      </c>
      <c r="N22" s="277"/>
      <c r="O22" s="128" t="s">
        <v>341</v>
      </c>
      <c r="P22" s="130" t="s">
        <v>342</v>
      </c>
      <c r="Q22" s="220">
        <v>3152163611</v>
      </c>
      <c r="R22" s="126"/>
      <c r="S22" s="124"/>
      <c r="T22" s="197"/>
      <c r="U22" s="137" t="s">
        <v>343</v>
      </c>
      <c r="V22" s="137" t="s">
        <v>344</v>
      </c>
      <c r="W22" s="197">
        <v>3114661994</v>
      </c>
      <c r="X22" s="42"/>
      <c r="Y22" s="52"/>
      <c r="Z22" s="124" t="s">
        <v>342</v>
      </c>
      <c r="AA22" s="120" t="s">
        <v>345</v>
      </c>
      <c r="AB22" s="122" t="s">
        <v>346</v>
      </c>
      <c r="AC22" s="121">
        <v>52477410</v>
      </c>
      <c r="AD22" s="136" t="s">
        <v>347</v>
      </c>
      <c r="AE22" s="47" t="s">
        <v>53</v>
      </c>
      <c r="AF22" s="48"/>
      <c r="AG22" s="36" t="s">
        <v>334</v>
      </c>
    </row>
    <row r="23" spans="1:35" s="48" customFormat="1">
      <c r="A23" s="75" t="s">
        <v>348</v>
      </c>
      <c r="B23" s="29" t="s">
        <v>349</v>
      </c>
      <c r="C23" s="29"/>
      <c r="D23" s="150">
        <v>3500</v>
      </c>
      <c r="E23" s="115" t="s">
        <v>89</v>
      </c>
      <c r="F23" s="30" t="s">
        <v>89</v>
      </c>
      <c r="G23" s="30" t="s">
        <v>90</v>
      </c>
      <c r="H23" s="30"/>
      <c r="I23" s="288"/>
      <c r="J23" s="288"/>
      <c r="K23" s="288"/>
      <c r="L23" s="292">
        <v>46006</v>
      </c>
      <c r="M23" s="293" t="s">
        <v>38</v>
      </c>
      <c r="N23" s="280" t="s">
        <v>350</v>
      </c>
      <c r="O23" s="254" t="s">
        <v>351</v>
      </c>
      <c r="P23" s="232" t="s">
        <v>352</v>
      </c>
      <c r="Q23" s="217" t="s">
        <v>353</v>
      </c>
      <c r="R23" s="43"/>
      <c r="S23" s="43"/>
      <c r="T23" s="202"/>
      <c r="U23" s="43"/>
      <c r="V23" s="43"/>
      <c r="W23" s="202"/>
      <c r="X23" s="29"/>
      <c r="Y23" s="33"/>
      <c r="Z23" s="30"/>
      <c r="AA23" s="55" t="s">
        <v>354</v>
      </c>
      <c r="AB23" s="35" t="s">
        <v>355</v>
      </c>
      <c r="AC23" s="35"/>
      <c r="AD23" s="35" t="s">
        <v>356</v>
      </c>
      <c r="AE23" s="35" t="s">
        <v>53</v>
      </c>
      <c r="AF23" s="36"/>
      <c r="AG23" s="59" t="s">
        <v>357</v>
      </c>
      <c r="AH23" s="191" t="s">
        <v>358</v>
      </c>
      <c r="AI23" s="59" t="s">
        <v>359</v>
      </c>
    </row>
    <row r="24" spans="1:35" s="36" customFormat="1" ht="20.399999999999999">
      <c r="A24" s="103" t="s">
        <v>360</v>
      </c>
      <c r="B24" s="48" t="s">
        <v>336</v>
      </c>
      <c r="C24" s="48"/>
      <c r="D24" s="152">
        <v>2000</v>
      </c>
      <c r="E24" s="111" t="s">
        <v>361</v>
      </c>
      <c r="F24" s="62" t="s">
        <v>200</v>
      </c>
      <c r="G24" s="30" t="s">
        <v>37</v>
      </c>
      <c r="H24" s="30"/>
      <c r="I24" s="289" t="s">
        <v>60</v>
      </c>
      <c r="J24" s="289" t="s">
        <v>362</v>
      </c>
      <c r="K24" s="289"/>
      <c r="L24" s="291">
        <v>46006</v>
      </c>
      <c r="M24" s="290" t="s">
        <v>161</v>
      </c>
      <c r="N24" s="276" t="s">
        <v>363</v>
      </c>
      <c r="O24" s="48" t="s">
        <v>364</v>
      </c>
      <c r="P24" s="40" t="s">
        <v>365</v>
      </c>
      <c r="Q24" s="244"/>
      <c r="R24" s="48"/>
      <c r="S24" s="40"/>
      <c r="T24" s="40"/>
      <c r="U24" s="48" t="s">
        <v>366</v>
      </c>
      <c r="V24" s="40" t="s">
        <v>367</v>
      </c>
      <c r="W24" s="40"/>
      <c r="X24" s="48"/>
      <c r="Y24" s="40"/>
      <c r="Z24" s="40" t="s">
        <v>368</v>
      </c>
      <c r="AA24" s="59" t="s">
        <v>369</v>
      </c>
      <c r="AB24" s="48">
        <v>3174342484</v>
      </c>
      <c r="AC24" s="48" t="s">
        <v>370</v>
      </c>
      <c r="AD24" s="48" t="s">
        <v>371</v>
      </c>
      <c r="AE24" s="48"/>
      <c r="AF24" s="48"/>
      <c r="AG24" s="36" t="s">
        <v>372</v>
      </c>
    </row>
    <row r="25" spans="1:35" s="36" customFormat="1">
      <c r="A25" s="119" t="s">
        <v>373</v>
      </c>
      <c r="B25" s="128" t="s">
        <v>57</v>
      </c>
      <c r="C25" s="145" t="s">
        <v>374</v>
      </c>
      <c r="D25" s="150">
        <v>2000</v>
      </c>
      <c r="E25" s="137" t="s">
        <v>375</v>
      </c>
      <c r="F25" s="30" t="s">
        <v>376</v>
      </c>
      <c r="G25" s="30" t="s">
        <v>37</v>
      </c>
      <c r="H25" s="30"/>
      <c r="I25" s="289"/>
      <c r="J25" s="289"/>
      <c r="K25" s="289"/>
      <c r="L25" s="291">
        <v>46006</v>
      </c>
      <c r="M25" s="290" t="s">
        <v>38</v>
      </c>
      <c r="N25" s="276" t="s">
        <v>377</v>
      </c>
      <c r="O25" s="128" t="s">
        <v>378</v>
      </c>
      <c r="P25" s="130" t="s">
        <v>379</v>
      </c>
      <c r="Q25" s="247" t="s">
        <v>380</v>
      </c>
      <c r="R25" s="43"/>
      <c r="S25" s="43"/>
      <c r="T25" s="43"/>
      <c r="U25" s="43"/>
      <c r="V25" s="43"/>
      <c r="W25" s="43"/>
      <c r="X25" s="29"/>
      <c r="Y25" s="33"/>
      <c r="Z25" s="137" t="s">
        <v>379</v>
      </c>
      <c r="AA25" s="120" t="s">
        <v>381</v>
      </c>
      <c r="AB25" s="121" t="s">
        <v>382</v>
      </c>
      <c r="AC25" s="35" t="s">
        <v>383</v>
      </c>
      <c r="AD25" s="136" t="s">
        <v>384</v>
      </c>
      <c r="AE25" s="35" t="s">
        <v>53</v>
      </c>
      <c r="AG25" s="36" t="s">
        <v>173</v>
      </c>
      <c r="AH25" s="180" t="s">
        <v>385</v>
      </c>
      <c r="AI25" s="36" t="s">
        <v>386</v>
      </c>
    </row>
    <row r="26" spans="1:35" s="36" customFormat="1">
      <c r="A26" s="75" t="s">
        <v>387</v>
      </c>
      <c r="B26" s="38" t="s">
        <v>388</v>
      </c>
      <c r="C26" s="38"/>
      <c r="D26" s="150">
        <v>1500</v>
      </c>
      <c r="E26" s="109" t="s">
        <v>89</v>
      </c>
      <c r="F26" s="30" t="s">
        <v>89</v>
      </c>
      <c r="G26" s="30" t="s">
        <v>90</v>
      </c>
      <c r="H26" s="30"/>
      <c r="I26" s="289"/>
      <c r="J26" s="289"/>
      <c r="K26" s="289"/>
      <c r="L26" s="291">
        <v>46006</v>
      </c>
      <c r="M26" s="290" t="s">
        <v>38</v>
      </c>
      <c r="N26" s="276" t="s">
        <v>377</v>
      </c>
      <c r="O26" s="233" t="s">
        <v>389</v>
      </c>
      <c r="P26" s="237" t="s">
        <v>390</v>
      </c>
      <c r="Q26" s="274" t="s">
        <v>391</v>
      </c>
      <c r="R26" s="30" t="s">
        <v>392</v>
      </c>
      <c r="S26" s="31" t="s">
        <v>393</v>
      </c>
      <c r="T26" s="200"/>
      <c r="U26" s="30"/>
      <c r="V26" s="32"/>
      <c r="W26" s="198"/>
      <c r="X26" s="30"/>
      <c r="Y26" s="32"/>
      <c r="Z26" s="30"/>
      <c r="AA26" s="50"/>
      <c r="AB26" s="36" t="s">
        <v>394</v>
      </c>
      <c r="AD26" s="36" t="s">
        <v>395</v>
      </c>
      <c r="AG26" s="36" t="s">
        <v>396</v>
      </c>
    </row>
    <row r="27" spans="1:35" s="36" customFormat="1" ht="28.8">
      <c r="A27" s="75" t="s">
        <v>397</v>
      </c>
      <c r="B27" s="38" t="s">
        <v>157</v>
      </c>
      <c r="C27" s="38"/>
      <c r="D27" s="150">
        <v>2000</v>
      </c>
      <c r="E27" s="109" t="s">
        <v>398</v>
      </c>
      <c r="F27" s="37" t="s">
        <v>200</v>
      </c>
      <c r="G27" s="30" t="s">
        <v>37</v>
      </c>
      <c r="H27" s="30" t="s">
        <v>54</v>
      </c>
      <c r="I27" s="289"/>
      <c r="J27" s="289"/>
      <c r="K27" s="289"/>
      <c r="L27" s="291">
        <v>46006</v>
      </c>
      <c r="M27" s="290" t="s">
        <v>38</v>
      </c>
      <c r="N27" s="276" t="s">
        <v>399</v>
      </c>
      <c r="O27" s="38" t="s">
        <v>400</v>
      </c>
      <c r="P27" s="31" t="s">
        <v>401</v>
      </c>
      <c r="Q27" s="239"/>
      <c r="R27" s="43" t="s">
        <v>402</v>
      </c>
      <c r="S27" s="43" t="s">
        <v>403</v>
      </c>
      <c r="T27" s="43"/>
      <c r="U27" s="43"/>
      <c r="V27" s="43"/>
      <c r="W27" s="43"/>
      <c r="X27" s="29"/>
      <c r="Y27" s="33"/>
      <c r="Z27" s="32" t="s">
        <v>404</v>
      </c>
      <c r="AA27" s="55" t="s">
        <v>405</v>
      </c>
      <c r="AB27" s="35" t="s">
        <v>406</v>
      </c>
      <c r="AC27" s="35">
        <v>215520020015</v>
      </c>
      <c r="AD27" s="35" t="s">
        <v>407</v>
      </c>
      <c r="AE27" s="35"/>
      <c r="AG27" s="36" t="s">
        <v>408</v>
      </c>
    </row>
    <row r="28" spans="1:35" s="36" customFormat="1" ht="20.399999999999999">
      <c r="A28" s="119" t="s">
        <v>409</v>
      </c>
      <c r="B28" s="127" t="s">
        <v>349</v>
      </c>
      <c r="C28" s="137" t="s">
        <v>410</v>
      </c>
      <c r="D28" s="150">
        <v>2500</v>
      </c>
      <c r="E28" s="125" t="s">
        <v>411</v>
      </c>
      <c r="F28" s="37" t="s">
        <v>412</v>
      </c>
      <c r="G28" s="30" t="s">
        <v>37</v>
      </c>
      <c r="H28" s="30"/>
      <c r="I28" s="289" t="s">
        <v>60</v>
      </c>
      <c r="J28" s="289" t="s">
        <v>413</v>
      </c>
      <c r="K28" s="289"/>
      <c r="L28" s="291">
        <v>46006</v>
      </c>
      <c r="M28" s="290" t="s">
        <v>38</v>
      </c>
      <c r="N28" s="283" t="s">
        <v>414</v>
      </c>
      <c r="O28" s="137" t="s">
        <v>415</v>
      </c>
      <c r="P28" s="137" t="s">
        <v>416</v>
      </c>
      <c r="Q28" s="240" t="s">
        <v>417</v>
      </c>
      <c r="R28" s="137"/>
      <c r="S28" s="124"/>
      <c r="T28" s="124"/>
      <c r="U28" s="38" t="s">
        <v>418</v>
      </c>
      <c r="V28" s="31" t="s">
        <v>419</v>
      </c>
      <c r="W28" s="33"/>
      <c r="X28" s="30" t="s">
        <v>420</v>
      </c>
      <c r="Y28" s="32" t="s">
        <v>421</v>
      </c>
      <c r="Z28" s="137" t="s">
        <v>416</v>
      </c>
      <c r="AA28" s="145" t="s">
        <v>422</v>
      </c>
      <c r="AB28" s="122" t="s">
        <v>423</v>
      </c>
      <c r="AC28" s="137" t="s">
        <v>424</v>
      </c>
      <c r="AD28" s="136" t="s">
        <v>425</v>
      </c>
      <c r="AE28" s="35" t="s">
        <v>53</v>
      </c>
      <c r="AG28" s="36" t="s">
        <v>193</v>
      </c>
      <c r="AH28" s="180" t="s">
        <v>426</v>
      </c>
      <c r="AI28" s="36" t="s">
        <v>427</v>
      </c>
    </row>
    <row r="29" spans="1:35" s="36" customFormat="1">
      <c r="A29" s="75" t="s">
        <v>428</v>
      </c>
      <c r="B29" s="38" t="s">
        <v>197</v>
      </c>
      <c r="C29" s="38"/>
      <c r="D29" s="150">
        <v>2500</v>
      </c>
      <c r="E29" s="109" t="s">
        <v>89</v>
      </c>
      <c r="F29" s="30" t="s">
        <v>89</v>
      </c>
      <c r="G29" s="30" t="s">
        <v>90</v>
      </c>
      <c r="H29" s="30"/>
      <c r="I29" s="289"/>
      <c r="J29" s="289"/>
      <c r="K29" s="289"/>
      <c r="L29" s="291">
        <v>46006</v>
      </c>
      <c r="M29" s="290" t="s">
        <v>38</v>
      </c>
      <c r="N29" s="277" t="s">
        <v>264</v>
      </c>
      <c r="O29" s="38" t="s">
        <v>429</v>
      </c>
      <c r="P29" s="39" t="s">
        <v>430</v>
      </c>
      <c r="Q29" s="217"/>
      <c r="R29" s="43"/>
      <c r="S29" s="43"/>
      <c r="T29" s="202"/>
      <c r="U29" s="43"/>
      <c r="V29" s="43"/>
      <c r="W29" s="202"/>
      <c r="X29" s="29"/>
      <c r="Y29" s="58"/>
      <c r="Z29" s="30"/>
      <c r="AA29" s="55" t="s">
        <v>431</v>
      </c>
      <c r="AB29" s="35" t="s">
        <v>432</v>
      </c>
      <c r="AC29" s="35"/>
      <c r="AD29" s="35" t="s">
        <v>433</v>
      </c>
      <c r="AE29" s="35"/>
      <c r="AG29" s="64" t="s">
        <v>434</v>
      </c>
    </row>
    <row r="30" spans="1:35" s="36" customFormat="1">
      <c r="A30" s="142" t="s">
        <v>435</v>
      </c>
      <c r="B30" s="129" t="s">
        <v>436</v>
      </c>
      <c r="C30" s="129" t="s">
        <v>437</v>
      </c>
      <c r="D30" s="152">
        <v>2500</v>
      </c>
      <c r="E30" s="190" t="s">
        <v>438</v>
      </c>
      <c r="F30" s="62" t="s">
        <v>398</v>
      </c>
      <c r="G30" s="30" t="s">
        <v>37</v>
      </c>
      <c r="H30" s="30"/>
      <c r="I30" s="289" t="s">
        <v>60</v>
      </c>
      <c r="J30" s="289" t="s">
        <v>439</v>
      </c>
      <c r="K30" s="289"/>
      <c r="L30" s="291">
        <v>46006</v>
      </c>
      <c r="M30" s="290" t="s">
        <v>38</v>
      </c>
      <c r="N30" s="277" t="s">
        <v>440</v>
      </c>
      <c r="O30" s="129" t="s">
        <v>441</v>
      </c>
      <c r="P30" s="138" t="s">
        <v>442</v>
      </c>
      <c r="Q30" s="240">
        <v>50765680781</v>
      </c>
      <c r="R30" s="48"/>
      <c r="S30" s="138"/>
      <c r="T30" s="40"/>
      <c r="U30" s="48"/>
      <c r="V30" s="40"/>
      <c r="W30" s="40"/>
      <c r="X30" s="48" t="s">
        <v>443</v>
      </c>
      <c r="Y30" s="40" t="s">
        <v>444</v>
      </c>
      <c r="Z30" s="138" t="s">
        <v>445</v>
      </c>
      <c r="AA30" s="139" t="s">
        <v>446</v>
      </c>
      <c r="AB30" s="129" t="s">
        <v>447</v>
      </c>
      <c r="AC30" s="129" t="s">
        <v>448</v>
      </c>
      <c r="AD30" s="129" t="s">
        <v>449</v>
      </c>
      <c r="AE30" s="48" t="s">
        <v>53</v>
      </c>
      <c r="AG30" s="36" t="s">
        <v>450</v>
      </c>
      <c r="AH30" s="180" t="s">
        <v>451</v>
      </c>
      <c r="AI30" s="36" t="s">
        <v>452</v>
      </c>
    </row>
    <row r="31" spans="1:35" s="36" customFormat="1">
      <c r="A31" s="75" t="s">
        <v>453</v>
      </c>
      <c r="B31" s="38" t="s">
        <v>454</v>
      </c>
      <c r="C31" s="38"/>
      <c r="D31" s="150">
        <v>2500</v>
      </c>
      <c r="E31" s="109" t="s">
        <v>89</v>
      </c>
      <c r="F31" s="30" t="s">
        <v>89</v>
      </c>
      <c r="G31" s="30" t="s">
        <v>90</v>
      </c>
      <c r="H31" s="30"/>
      <c r="I31" s="289" t="s">
        <v>60</v>
      </c>
      <c r="J31" s="289" t="s">
        <v>455</v>
      </c>
      <c r="K31" s="289" t="s">
        <v>456</v>
      </c>
      <c r="L31" s="291">
        <v>46006</v>
      </c>
      <c r="M31" s="290" t="s">
        <v>38</v>
      </c>
      <c r="N31" s="277"/>
      <c r="O31" s="38" t="s">
        <v>457</v>
      </c>
      <c r="P31" s="31" t="s">
        <v>458</v>
      </c>
      <c r="Q31" s="217"/>
      <c r="R31" s="43" t="s">
        <v>459</v>
      </c>
      <c r="S31" s="43" t="s">
        <v>460</v>
      </c>
      <c r="T31" s="202"/>
      <c r="U31" s="43"/>
      <c r="V31" s="43"/>
      <c r="W31" s="202"/>
      <c r="X31" s="29"/>
      <c r="Y31" s="33"/>
      <c r="Z31" s="30"/>
      <c r="AA31" s="50" t="s">
        <v>461</v>
      </c>
      <c r="AB31" s="35">
        <v>59822033773</v>
      </c>
      <c r="AC31" s="35">
        <v>210465050018</v>
      </c>
      <c r="AD31" s="56" t="s">
        <v>462</v>
      </c>
      <c r="AE31" s="35" t="s">
        <v>53</v>
      </c>
      <c r="AH31" s="182">
        <v>59898393088</v>
      </c>
      <c r="AI31" s="36" t="s">
        <v>463</v>
      </c>
    </row>
    <row r="32" spans="1:35" s="36" customFormat="1">
      <c r="A32" s="75" t="s">
        <v>464</v>
      </c>
      <c r="B32" s="38" t="s">
        <v>88</v>
      </c>
      <c r="C32" s="38"/>
      <c r="D32" s="150">
        <v>5000</v>
      </c>
      <c r="E32" s="109" t="s">
        <v>131</v>
      </c>
      <c r="F32" s="30" t="s">
        <v>131</v>
      </c>
      <c r="G32" s="30" t="s">
        <v>37</v>
      </c>
      <c r="H32" s="30" t="s">
        <v>54</v>
      </c>
      <c r="I32" s="289" t="s">
        <v>338</v>
      </c>
      <c r="J32" s="289" t="s">
        <v>465</v>
      </c>
      <c r="K32" s="289" t="s">
        <v>466</v>
      </c>
      <c r="L32" s="291">
        <v>46008</v>
      </c>
      <c r="M32" s="290" t="s">
        <v>289</v>
      </c>
      <c r="N32" s="276" t="s">
        <v>467</v>
      </c>
      <c r="O32" s="38" t="s">
        <v>468</v>
      </c>
      <c r="P32" s="31" t="s">
        <v>469</v>
      </c>
      <c r="Q32" s="239"/>
      <c r="R32" s="43"/>
      <c r="S32" s="43"/>
      <c r="T32" s="43"/>
      <c r="U32" s="43"/>
      <c r="V32" s="43"/>
      <c r="W32" s="43"/>
      <c r="X32" s="29"/>
      <c r="Y32" s="33"/>
      <c r="Z32" s="30"/>
      <c r="AA32" s="55" t="s">
        <v>470</v>
      </c>
      <c r="AB32" s="36" t="s">
        <v>471</v>
      </c>
      <c r="AC32" s="36" t="s">
        <v>472</v>
      </c>
      <c r="AD32" s="36" t="s">
        <v>473</v>
      </c>
      <c r="AG32" s="36" t="s">
        <v>271</v>
      </c>
      <c r="AH32" s="180" t="s">
        <v>474</v>
      </c>
      <c r="AI32" s="36" t="s">
        <v>427</v>
      </c>
    </row>
    <row r="33" spans="1:35" s="36" customFormat="1" ht="28.8">
      <c r="A33" s="75" t="s">
        <v>475</v>
      </c>
      <c r="B33" s="38" t="s">
        <v>88</v>
      </c>
      <c r="C33" s="38"/>
      <c r="D33" s="150">
        <v>5000</v>
      </c>
      <c r="E33" s="109" t="s">
        <v>212</v>
      </c>
      <c r="F33" s="30" t="s">
        <v>212</v>
      </c>
      <c r="G33" s="30" t="s">
        <v>37</v>
      </c>
      <c r="H33" s="30"/>
      <c r="I33" s="289" t="s">
        <v>60</v>
      </c>
      <c r="J33" s="289" t="s">
        <v>476</v>
      </c>
      <c r="K33" s="289"/>
      <c r="L33" s="291">
        <v>46006</v>
      </c>
      <c r="M33" s="290" t="s">
        <v>38</v>
      </c>
      <c r="N33" s="276" t="s">
        <v>477</v>
      </c>
      <c r="O33" s="38" t="s">
        <v>478</v>
      </c>
      <c r="P33" s="31" t="s">
        <v>479</v>
      </c>
      <c r="Q33" s="239"/>
      <c r="R33" s="43"/>
      <c r="S33" s="43"/>
      <c r="T33" s="43"/>
      <c r="U33" s="43"/>
      <c r="V33" s="43"/>
      <c r="W33" s="43"/>
      <c r="X33" s="29"/>
      <c r="Y33" s="33"/>
      <c r="Z33" s="30"/>
      <c r="AA33" s="55" t="s">
        <v>480</v>
      </c>
      <c r="AB33" s="36" t="s">
        <v>481</v>
      </c>
      <c r="AD33" s="36" t="s">
        <v>482</v>
      </c>
      <c r="AG33" s="36" t="s">
        <v>483</v>
      </c>
    </row>
    <row r="34" spans="1:35" s="36" customFormat="1" ht="20.399999999999999">
      <c r="A34" s="119" t="s">
        <v>484</v>
      </c>
      <c r="B34" s="128" t="s">
        <v>197</v>
      </c>
      <c r="C34" s="128" t="s">
        <v>197</v>
      </c>
      <c r="D34" s="150">
        <v>2000</v>
      </c>
      <c r="E34" s="125" t="s">
        <v>36</v>
      </c>
      <c r="F34" s="30" t="s">
        <v>398</v>
      </c>
      <c r="G34" s="30" t="s">
        <v>37</v>
      </c>
      <c r="H34" s="30" t="s">
        <v>54</v>
      </c>
      <c r="I34" s="289" t="s">
        <v>60</v>
      </c>
      <c r="J34" s="289" t="s">
        <v>485</v>
      </c>
      <c r="K34" s="289" t="s">
        <v>486</v>
      </c>
      <c r="L34" s="291">
        <v>46006</v>
      </c>
      <c r="M34" s="290" t="s">
        <v>289</v>
      </c>
      <c r="N34" s="277"/>
      <c r="O34" s="128" t="s">
        <v>487</v>
      </c>
      <c r="P34" s="130" t="s">
        <v>488</v>
      </c>
      <c r="Q34" s="240">
        <v>56982497231</v>
      </c>
      <c r="R34" s="147" t="s">
        <v>489</v>
      </c>
      <c r="S34" s="260" t="s">
        <v>490</v>
      </c>
      <c r="T34" s="148">
        <v>56998421523</v>
      </c>
      <c r="U34" s="29"/>
      <c r="V34" s="33"/>
      <c r="W34" s="33"/>
      <c r="X34" s="29"/>
      <c r="Y34" s="33"/>
      <c r="Z34" s="137" t="s">
        <v>491</v>
      </c>
      <c r="AA34" s="134" t="s">
        <v>492</v>
      </c>
      <c r="AB34" s="139" t="s">
        <v>493</v>
      </c>
      <c r="AC34" s="129" t="s">
        <v>494</v>
      </c>
      <c r="AD34" s="136" t="s">
        <v>495</v>
      </c>
      <c r="AE34" s="36" t="s">
        <v>53</v>
      </c>
      <c r="AG34" s="36" t="s">
        <v>173</v>
      </c>
      <c r="AH34" s="180" t="s">
        <v>496</v>
      </c>
      <c r="AI34" s="36" t="s">
        <v>497</v>
      </c>
    </row>
    <row r="35" spans="1:35" s="36" customFormat="1">
      <c r="A35" s="142" t="s">
        <v>498</v>
      </c>
      <c r="B35" s="129" t="s">
        <v>349</v>
      </c>
      <c r="C35" s="129" t="s">
        <v>34</v>
      </c>
      <c r="D35" s="152">
        <v>2000</v>
      </c>
      <c r="E35" s="141" t="s">
        <v>36</v>
      </c>
      <c r="F35" s="62" t="s">
        <v>499</v>
      </c>
      <c r="G35" s="30" t="s">
        <v>37</v>
      </c>
      <c r="H35" s="30"/>
      <c r="I35" s="289" t="s">
        <v>60</v>
      </c>
      <c r="J35" s="289" t="s">
        <v>500</v>
      </c>
      <c r="K35" s="289" t="s">
        <v>466</v>
      </c>
      <c r="L35" s="291">
        <v>46006</v>
      </c>
      <c r="M35" s="290" t="s">
        <v>38</v>
      </c>
      <c r="N35" s="277"/>
      <c r="O35" s="129" t="s">
        <v>501</v>
      </c>
      <c r="P35" s="138" t="s">
        <v>502</v>
      </c>
      <c r="Q35" s="247" t="s">
        <v>503</v>
      </c>
      <c r="R35" s="255" t="s">
        <v>504</v>
      </c>
      <c r="S35" s="256" t="s">
        <v>505</v>
      </c>
      <c r="T35" s="148" t="s">
        <v>506</v>
      </c>
      <c r="U35" s="48"/>
      <c r="V35" s="40"/>
      <c r="W35" s="40"/>
      <c r="X35" s="48"/>
      <c r="Y35" s="40"/>
      <c r="Z35" s="137" t="s">
        <v>507</v>
      </c>
      <c r="AA35" s="139" t="s">
        <v>508</v>
      </c>
      <c r="AB35" s="129" t="s">
        <v>509</v>
      </c>
      <c r="AC35" s="129" t="s">
        <v>510</v>
      </c>
      <c r="AD35" s="136" t="s">
        <v>511</v>
      </c>
      <c r="AE35" s="48" t="s">
        <v>53</v>
      </c>
      <c r="AG35" s="36" t="s">
        <v>55</v>
      </c>
      <c r="AH35" s="180" t="s">
        <v>512</v>
      </c>
      <c r="AI35" s="36" t="s">
        <v>513</v>
      </c>
    </row>
    <row r="36" spans="1:35" s="36" customFormat="1" ht="28.8">
      <c r="A36" s="119" t="s">
        <v>514</v>
      </c>
      <c r="B36" s="137" t="s">
        <v>515</v>
      </c>
      <c r="C36" s="145" t="s">
        <v>516</v>
      </c>
      <c r="D36" s="150">
        <v>2000</v>
      </c>
      <c r="E36" s="145" t="s">
        <v>517</v>
      </c>
      <c r="F36" s="37" t="s">
        <v>518</v>
      </c>
      <c r="G36" s="30" t="s">
        <v>37</v>
      </c>
      <c r="H36" s="30"/>
      <c r="I36" s="289" t="s">
        <v>60</v>
      </c>
      <c r="J36" s="289" t="s">
        <v>519</v>
      </c>
      <c r="K36" s="289"/>
      <c r="L36" s="291">
        <v>46007</v>
      </c>
      <c r="M36" s="290" t="s">
        <v>38</v>
      </c>
      <c r="N36" s="276" t="s">
        <v>520</v>
      </c>
      <c r="O36" s="128" t="s">
        <v>521</v>
      </c>
      <c r="P36" s="130" t="s">
        <v>522</v>
      </c>
      <c r="Q36" s="240">
        <v>18494722006</v>
      </c>
      <c r="R36" s="147" t="s">
        <v>523</v>
      </c>
      <c r="S36" s="260" t="s">
        <v>524</v>
      </c>
      <c r="T36" s="258" t="s">
        <v>525</v>
      </c>
      <c r="U36" s="38"/>
      <c r="V36" s="33"/>
      <c r="W36" s="33"/>
      <c r="X36" s="29"/>
      <c r="Y36" s="33"/>
      <c r="Z36" s="137" t="s">
        <v>526</v>
      </c>
      <c r="AA36" s="120" t="s">
        <v>527</v>
      </c>
      <c r="AB36" s="129" t="s">
        <v>528</v>
      </c>
      <c r="AC36" s="145" t="s">
        <v>529</v>
      </c>
      <c r="AD36" s="136" t="s">
        <v>530</v>
      </c>
      <c r="AE36" s="36" t="s">
        <v>53</v>
      </c>
      <c r="AG36" s="36" t="s">
        <v>531</v>
      </c>
      <c r="AH36" s="180" t="s">
        <v>532</v>
      </c>
      <c r="AI36" s="36" t="s">
        <v>533</v>
      </c>
    </row>
    <row r="37" spans="1:35" s="36" customFormat="1">
      <c r="A37" s="75" t="s">
        <v>534</v>
      </c>
      <c r="B37" s="38" t="s">
        <v>88</v>
      </c>
      <c r="C37" s="38"/>
      <c r="D37" s="150">
        <v>5000</v>
      </c>
      <c r="E37" s="109" t="s">
        <v>89</v>
      </c>
      <c r="F37" s="30" t="s">
        <v>89</v>
      </c>
      <c r="G37" s="30" t="s">
        <v>90</v>
      </c>
      <c r="H37" s="30" t="s">
        <v>54</v>
      </c>
      <c r="I37" s="289" t="s">
        <v>60</v>
      </c>
      <c r="J37" s="289" t="s">
        <v>535</v>
      </c>
      <c r="K37" s="289"/>
      <c r="L37" s="291">
        <v>46006</v>
      </c>
      <c r="M37" s="290" t="s">
        <v>289</v>
      </c>
      <c r="N37" s="277"/>
      <c r="O37" s="38" t="s">
        <v>536</v>
      </c>
      <c r="P37" s="31" t="s">
        <v>537</v>
      </c>
      <c r="Q37" s="217" t="s">
        <v>538</v>
      </c>
      <c r="R37" s="30" t="s">
        <v>539</v>
      </c>
      <c r="S37" s="30" t="s">
        <v>540</v>
      </c>
      <c r="T37" s="199" t="s">
        <v>541</v>
      </c>
      <c r="U37" s="30"/>
      <c r="V37" s="30"/>
      <c r="W37" s="199"/>
      <c r="X37" s="29"/>
      <c r="Y37" s="33"/>
      <c r="Z37" s="30"/>
      <c r="AA37" s="55" t="s">
        <v>542</v>
      </c>
      <c r="AB37" s="36" t="s">
        <v>543</v>
      </c>
      <c r="AC37" s="36" t="s">
        <v>544</v>
      </c>
      <c r="AD37" s="36" t="s">
        <v>545</v>
      </c>
      <c r="AG37" s="64" t="s">
        <v>546</v>
      </c>
      <c r="AH37" s="180" t="s">
        <v>547</v>
      </c>
      <c r="AI37" s="36" t="s">
        <v>548</v>
      </c>
    </row>
    <row r="38" spans="1:35" s="36" customFormat="1" ht="20.399999999999999">
      <c r="A38" s="75" t="s">
        <v>549</v>
      </c>
      <c r="B38" s="38" t="s">
        <v>336</v>
      </c>
      <c r="C38" s="38"/>
      <c r="D38" s="150">
        <v>2500</v>
      </c>
      <c r="E38" s="109" t="s">
        <v>212</v>
      </c>
      <c r="F38" s="30" t="s">
        <v>212</v>
      </c>
      <c r="G38" s="30" t="s">
        <v>37</v>
      </c>
      <c r="H38" s="30" t="s">
        <v>54</v>
      </c>
      <c r="I38" s="289" t="s">
        <v>60</v>
      </c>
      <c r="J38" s="289" t="s">
        <v>550</v>
      </c>
      <c r="K38" s="289" t="s">
        <v>551</v>
      </c>
      <c r="L38" s="291">
        <v>46006</v>
      </c>
      <c r="M38" s="290" t="s">
        <v>161</v>
      </c>
      <c r="N38" s="276" t="s">
        <v>552</v>
      </c>
      <c r="O38" s="38" t="s">
        <v>553</v>
      </c>
      <c r="P38" s="31" t="s">
        <v>554</v>
      </c>
      <c r="Q38" s="239"/>
      <c r="R38" s="299" t="s">
        <v>555</v>
      </c>
      <c r="S38" s="33" t="s">
        <v>556</v>
      </c>
      <c r="T38" s="33"/>
      <c r="U38" s="29" t="s">
        <v>557</v>
      </c>
      <c r="V38" s="300" t="s">
        <v>558</v>
      </c>
      <c r="W38" s="33"/>
      <c r="X38" s="29"/>
      <c r="Y38" s="33"/>
      <c r="Z38" s="30"/>
      <c r="AA38" s="50" t="s">
        <v>559</v>
      </c>
      <c r="AB38" s="36" t="s">
        <v>560</v>
      </c>
      <c r="AD38" s="36" t="s">
        <v>561</v>
      </c>
      <c r="AE38" s="36" t="s">
        <v>53</v>
      </c>
      <c r="AG38" s="64" t="s">
        <v>562</v>
      </c>
      <c r="AH38" s="183">
        <v>3142399441</v>
      </c>
      <c r="AI38" s="36" t="s">
        <v>427</v>
      </c>
    </row>
    <row r="39" spans="1:35" s="36" customFormat="1" ht="20.399999999999999">
      <c r="A39" s="75" t="s">
        <v>563</v>
      </c>
      <c r="B39" s="38" t="s">
        <v>436</v>
      </c>
      <c r="C39" s="38"/>
      <c r="D39" s="150">
        <v>1500</v>
      </c>
      <c r="E39" s="109" t="s">
        <v>36</v>
      </c>
      <c r="F39" s="37" t="s">
        <v>36</v>
      </c>
      <c r="G39" s="30" t="s">
        <v>37</v>
      </c>
      <c r="H39" s="30" t="s">
        <v>54</v>
      </c>
      <c r="I39" s="289" t="s">
        <v>60</v>
      </c>
      <c r="J39" s="289" t="s">
        <v>564</v>
      </c>
      <c r="K39" s="289"/>
      <c r="L39" s="291">
        <v>46007</v>
      </c>
      <c r="M39" s="290" t="s">
        <v>38</v>
      </c>
      <c r="N39" s="276" t="s">
        <v>565</v>
      </c>
      <c r="O39" s="38" t="s">
        <v>566</v>
      </c>
      <c r="P39" s="31" t="s">
        <v>567</v>
      </c>
      <c r="Q39" s="239"/>
      <c r="R39" s="38"/>
      <c r="S39" s="33"/>
      <c r="T39" s="33"/>
      <c r="U39" s="30"/>
      <c r="V39" s="30"/>
      <c r="W39" s="30"/>
      <c r="X39" s="29"/>
      <c r="Y39" s="33"/>
      <c r="Z39" s="30"/>
      <c r="AA39" s="55" t="s">
        <v>568</v>
      </c>
      <c r="AB39" s="36">
        <v>34915561900</v>
      </c>
      <c r="AC39" s="36" t="s">
        <v>569</v>
      </c>
      <c r="AD39" s="36" t="s">
        <v>570</v>
      </c>
      <c r="AE39" s="36" t="s">
        <v>53</v>
      </c>
      <c r="AG39" s="36" t="s">
        <v>571</v>
      </c>
      <c r="AH39" s="180" t="s">
        <v>572</v>
      </c>
      <c r="AI39" s="36" t="s">
        <v>573</v>
      </c>
    </row>
    <row r="40" spans="1:35" s="36" customFormat="1">
      <c r="A40" s="119" t="s">
        <v>574</v>
      </c>
      <c r="B40" s="128" t="s">
        <v>76</v>
      </c>
      <c r="C40" s="128"/>
      <c r="D40" s="150">
        <v>2000</v>
      </c>
      <c r="E40" s="109" t="s">
        <v>160</v>
      </c>
      <c r="F40" s="30" t="s">
        <v>160</v>
      </c>
      <c r="G40" s="30" t="s">
        <v>37</v>
      </c>
      <c r="H40" s="30" t="s">
        <v>54</v>
      </c>
      <c r="I40" s="289" t="s">
        <v>60</v>
      </c>
      <c r="J40" s="289" t="s">
        <v>575</v>
      </c>
      <c r="K40" s="289" t="s">
        <v>576</v>
      </c>
      <c r="L40" s="291">
        <v>46004</v>
      </c>
      <c r="M40" s="290" t="s">
        <v>289</v>
      </c>
      <c r="N40" s="277"/>
      <c r="O40" s="128" t="s">
        <v>577</v>
      </c>
      <c r="P40" s="130" t="s">
        <v>578</v>
      </c>
      <c r="Q40" s="240" t="s">
        <v>579</v>
      </c>
      <c r="R40" s="126"/>
      <c r="S40" s="124"/>
      <c r="T40" s="126"/>
      <c r="U40" s="43"/>
      <c r="V40" s="43"/>
      <c r="W40" s="43"/>
      <c r="X40" s="29"/>
      <c r="Y40" s="33"/>
      <c r="Z40" s="30"/>
      <c r="AA40" s="120" t="s">
        <v>580</v>
      </c>
      <c r="AB40" s="129" t="s">
        <v>581</v>
      </c>
      <c r="AC40" s="129">
        <v>10257700912</v>
      </c>
      <c r="AD40" s="36" t="s">
        <v>582</v>
      </c>
      <c r="AE40" s="36" t="s">
        <v>53</v>
      </c>
      <c r="AG40" s="36" t="s">
        <v>334</v>
      </c>
    </row>
    <row r="41" spans="1:35" s="36" customFormat="1">
      <c r="A41" s="119" t="s">
        <v>583</v>
      </c>
      <c r="B41" s="128" t="s">
        <v>108</v>
      </c>
      <c r="C41" s="128" t="s">
        <v>263</v>
      </c>
      <c r="D41" s="150">
        <v>2500</v>
      </c>
      <c r="E41" s="125" t="s">
        <v>584</v>
      </c>
      <c r="F41" s="30" t="s">
        <v>585</v>
      </c>
      <c r="G41" s="30" t="s">
        <v>37</v>
      </c>
      <c r="H41" s="30"/>
      <c r="I41" s="289" t="s">
        <v>60</v>
      </c>
      <c r="J41" s="289" t="s">
        <v>586</v>
      </c>
      <c r="K41" s="289" t="s">
        <v>587</v>
      </c>
      <c r="L41" s="291">
        <v>46006</v>
      </c>
      <c r="M41" s="290" t="s">
        <v>38</v>
      </c>
      <c r="N41" s="277"/>
      <c r="O41" s="128" t="s">
        <v>586</v>
      </c>
      <c r="P41" s="130" t="s">
        <v>588</v>
      </c>
      <c r="Q41" s="304">
        <v>593992008548</v>
      </c>
      <c r="R41" s="126" t="s">
        <v>589</v>
      </c>
      <c r="S41" s="124" t="s">
        <v>590</v>
      </c>
      <c r="T41" s="304">
        <v>59399383351</v>
      </c>
      <c r="U41" s="43"/>
      <c r="V41" s="43"/>
      <c r="W41" s="43"/>
      <c r="X41" s="29"/>
      <c r="Y41" s="33"/>
      <c r="Z41" s="304" t="s">
        <v>591</v>
      </c>
      <c r="AA41" s="120" t="s">
        <v>592</v>
      </c>
      <c r="AB41" s="129" t="s">
        <v>593</v>
      </c>
      <c r="AC41" s="318" t="s">
        <v>594</v>
      </c>
      <c r="AD41" s="138" t="s">
        <v>595</v>
      </c>
      <c r="AE41" s="36" t="s">
        <v>53</v>
      </c>
      <c r="AG41" s="64" t="s">
        <v>596</v>
      </c>
    </row>
    <row r="42" spans="1:35" s="36" customFormat="1" ht="20.399999999999999">
      <c r="A42" s="75" t="s">
        <v>597</v>
      </c>
      <c r="B42" s="38" t="s">
        <v>197</v>
      </c>
      <c r="C42" s="38"/>
      <c r="D42" s="150">
        <v>5000</v>
      </c>
      <c r="E42" s="109" t="s">
        <v>398</v>
      </c>
      <c r="F42" s="30" t="s">
        <v>398</v>
      </c>
      <c r="G42" s="30" t="s">
        <v>37</v>
      </c>
      <c r="H42" s="30" t="s">
        <v>54</v>
      </c>
      <c r="I42" s="289" t="s">
        <v>60</v>
      </c>
      <c r="J42" s="289" t="s">
        <v>598</v>
      </c>
      <c r="K42" s="289"/>
      <c r="L42" s="291">
        <v>46006</v>
      </c>
      <c r="M42" s="290" t="s">
        <v>38</v>
      </c>
      <c r="N42" s="276" t="s">
        <v>599</v>
      </c>
      <c r="O42" s="38" t="s">
        <v>600</v>
      </c>
      <c r="P42" s="31" t="s">
        <v>601</v>
      </c>
      <c r="Q42" s="239"/>
      <c r="R42" s="43"/>
      <c r="S42" s="43"/>
      <c r="T42" s="43"/>
      <c r="U42" s="43"/>
      <c r="V42" s="43"/>
      <c r="W42" s="43"/>
      <c r="X42" s="29"/>
      <c r="Y42" s="33"/>
      <c r="Z42" s="30"/>
      <c r="AA42" s="55" t="s">
        <v>602</v>
      </c>
      <c r="AB42" s="36" t="s">
        <v>603</v>
      </c>
      <c r="AC42" s="36" t="s">
        <v>604</v>
      </c>
      <c r="AD42" s="36" t="s">
        <v>605</v>
      </c>
      <c r="AG42" s="36" t="s">
        <v>271</v>
      </c>
      <c r="AH42" s="180" t="s">
        <v>606</v>
      </c>
      <c r="AI42" s="36" t="s">
        <v>607</v>
      </c>
    </row>
    <row r="43" spans="1:35" s="36" customFormat="1" ht="20.399999999999999">
      <c r="A43" s="75" t="s">
        <v>608</v>
      </c>
      <c r="B43" s="38" t="s">
        <v>349</v>
      </c>
      <c r="C43" s="38"/>
      <c r="D43" s="150">
        <v>2500</v>
      </c>
      <c r="E43" s="109" t="s">
        <v>212</v>
      </c>
      <c r="F43" s="30" t="s">
        <v>212</v>
      </c>
      <c r="G43" s="30" t="s">
        <v>37</v>
      </c>
      <c r="H43" s="30"/>
      <c r="I43" s="289"/>
      <c r="J43" s="289"/>
      <c r="K43" s="289"/>
      <c r="L43" s="291">
        <v>46006</v>
      </c>
      <c r="M43" s="290" t="s">
        <v>161</v>
      </c>
      <c r="N43" s="276" t="s">
        <v>609</v>
      </c>
      <c r="O43" s="38" t="s">
        <v>610</v>
      </c>
      <c r="P43" s="31" t="s">
        <v>611</v>
      </c>
      <c r="Q43" s="239"/>
      <c r="R43" s="38"/>
      <c r="S43" s="31"/>
      <c r="T43" s="31"/>
      <c r="U43" s="38"/>
      <c r="V43" s="31"/>
      <c r="W43" s="31"/>
      <c r="X43" s="29"/>
      <c r="Y43" s="31"/>
      <c r="Z43" s="30"/>
      <c r="AA43" s="55" t="s">
        <v>612</v>
      </c>
      <c r="AB43" s="36">
        <v>5513282526</v>
      </c>
      <c r="AD43" s="36" t="s">
        <v>613</v>
      </c>
      <c r="AF43" s="74" t="s">
        <v>60</v>
      </c>
      <c r="AG43" s="36" t="s">
        <v>571</v>
      </c>
      <c r="AH43" s="180" t="s">
        <v>614</v>
      </c>
      <c r="AI43" s="36" t="s">
        <v>615</v>
      </c>
    </row>
    <row r="44" spans="1:35" s="48" customFormat="1">
      <c r="A44" s="75" t="s">
        <v>616</v>
      </c>
      <c r="B44" s="38" t="s">
        <v>349</v>
      </c>
      <c r="C44" s="38"/>
      <c r="D44" s="150">
        <v>2500</v>
      </c>
      <c r="E44" s="115" t="s">
        <v>617</v>
      </c>
      <c r="F44" s="37" t="s">
        <v>59</v>
      </c>
      <c r="G44" s="30" t="s">
        <v>37</v>
      </c>
      <c r="H44" s="30"/>
      <c r="I44" s="288"/>
      <c r="J44" s="288"/>
      <c r="K44" s="288"/>
      <c r="L44" s="292">
        <v>46006</v>
      </c>
      <c r="M44" s="293" t="s">
        <v>38</v>
      </c>
      <c r="N44" s="280" t="s">
        <v>618</v>
      </c>
      <c r="O44" s="38" t="s">
        <v>619</v>
      </c>
      <c r="P44" s="33" t="s">
        <v>620</v>
      </c>
      <c r="Q44" s="245"/>
      <c r="R44" s="38" t="s">
        <v>619</v>
      </c>
      <c r="S44" s="33" t="s">
        <v>620</v>
      </c>
      <c r="T44" s="33"/>
      <c r="U44" s="30"/>
      <c r="V44" s="30"/>
      <c r="W44" s="30"/>
      <c r="X44" s="29"/>
      <c r="Y44" s="33"/>
      <c r="Z44" s="30"/>
      <c r="AA44" s="55" t="s">
        <v>621</v>
      </c>
      <c r="AB44" s="36" t="s">
        <v>622</v>
      </c>
      <c r="AC44" s="36" t="s">
        <v>623</v>
      </c>
      <c r="AD44" s="36" t="s">
        <v>624</v>
      </c>
      <c r="AE44" s="36"/>
      <c r="AF44" s="36"/>
      <c r="AG44" s="48" t="s">
        <v>571</v>
      </c>
      <c r="AH44" s="180" t="s">
        <v>625</v>
      </c>
      <c r="AI44" s="48" t="s">
        <v>626</v>
      </c>
    </row>
    <row r="45" spans="1:35" s="48" customFormat="1">
      <c r="A45" s="103" t="s">
        <v>627</v>
      </c>
      <c r="B45" s="48" t="s">
        <v>336</v>
      </c>
      <c r="D45" s="152">
        <v>1000</v>
      </c>
      <c r="E45" s="111" t="s">
        <v>628</v>
      </c>
      <c r="F45" s="48" t="s">
        <v>160</v>
      </c>
      <c r="G45" s="30" t="s">
        <v>37</v>
      </c>
      <c r="H45" s="30" t="s">
        <v>54</v>
      </c>
      <c r="I45" s="288"/>
      <c r="J45" s="288"/>
      <c r="K45" s="288"/>
      <c r="L45" s="292">
        <v>46006</v>
      </c>
      <c r="M45" s="293" t="s">
        <v>38</v>
      </c>
      <c r="N45" s="281" t="s">
        <v>264</v>
      </c>
      <c r="O45" s="48" t="s">
        <v>629</v>
      </c>
      <c r="P45" s="40" t="s">
        <v>630</v>
      </c>
      <c r="Q45" s="241"/>
      <c r="R45" s="48" t="s">
        <v>629</v>
      </c>
      <c r="S45" s="40" t="s">
        <v>630</v>
      </c>
      <c r="T45" s="40"/>
      <c r="V45" s="40"/>
      <c r="W45" s="40"/>
      <c r="Z45" s="40" t="s">
        <v>630</v>
      </c>
      <c r="AA45" s="48" t="s">
        <v>631</v>
      </c>
      <c r="AB45" s="48">
        <v>3133773168</v>
      </c>
      <c r="AC45" s="48" t="s">
        <v>632</v>
      </c>
      <c r="AD45" s="48" t="s">
        <v>633</v>
      </c>
      <c r="AG45" s="48" t="s">
        <v>571</v>
      </c>
      <c r="AH45" s="180" t="s">
        <v>634</v>
      </c>
      <c r="AI45" s="48" t="s">
        <v>626</v>
      </c>
    </row>
    <row r="46" spans="1:35" s="48" customFormat="1">
      <c r="A46" s="103" t="s">
        <v>635</v>
      </c>
      <c r="B46" s="48" t="s">
        <v>76</v>
      </c>
      <c r="D46" s="152">
        <v>2000</v>
      </c>
      <c r="E46" s="111" t="s">
        <v>160</v>
      </c>
      <c r="F46" s="48" t="s">
        <v>160</v>
      </c>
      <c r="G46" s="30" t="s">
        <v>37</v>
      </c>
      <c r="H46" s="30"/>
      <c r="I46" s="289" t="s">
        <v>60</v>
      </c>
      <c r="J46" s="288" t="s">
        <v>636</v>
      </c>
      <c r="K46" s="288"/>
      <c r="L46" s="292">
        <v>46006</v>
      </c>
      <c r="M46" s="293" t="s">
        <v>38</v>
      </c>
      <c r="N46" s="280" t="s">
        <v>637</v>
      </c>
      <c r="O46" s="48" t="s">
        <v>638</v>
      </c>
      <c r="P46" s="40" t="s">
        <v>639</v>
      </c>
      <c r="Q46" s="241"/>
      <c r="S46" s="40"/>
      <c r="T46" s="40"/>
      <c r="U46" s="48" t="s">
        <v>640</v>
      </c>
      <c r="V46" s="40" t="s">
        <v>641</v>
      </c>
      <c r="W46" s="40"/>
      <c r="Y46" s="40"/>
      <c r="AA46" s="59" t="s">
        <v>642</v>
      </c>
      <c r="AB46" s="48" t="s">
        <v>643</v>
      </c>
      <c r="AC46" s="48">
        <v>20612552640</v>
      </c>
      <c r="AD46" s="48" t="s">
        <v>644</v>
      </c>
      <c r="AH46" s="180" t="s">
        <v>645</v>
      </c>
      <c r="AI46" s="48" t="s">
        <v>646</v>
      </c>
    </row>
    <row r="47" spans="1:35" s="36" customFormat="1">
      <c r="A47" s="103" t="s">
        <v>647</v>
      </c>
      <c r="B47" s="48" t="s">
        <v>57</v>
      </c>
      <c r="C47" s="48"/>
      <c r="D47" s="152">
        <v>2000</v>
      </c>
      <c r="E47" s="111" t="s">
        <v>648</v>
      </c>
      <c r="F47" s="62" t="s">
        <v>518</v>
      </c>
      <c r="G47" s="30" t="s">
        <v>37</v>
      </c>
      <c r="H47" s="30"/>
      <c r="I47" s="289"/>
      <c r="J47" s="289"/>
      <c r="K47" s="289"/>
      <c r="L47" s="291">
        <v>46006</v>
      </c>
      <c r="M47" s="290" t="s">
        <v>38</v>
      </c>
      <c r="N47" s="276" t="s">
        <v>649</v>
      </c>
      <c r="O47" s="48" t="s">
        <v>650</v>
      </c>
      <c r="P47" s="44" t="s">
        <v>651</v>
      </c>
      <c r="Q47" s="242"/>
      <c r="R47" s="48"/>
      <c r="S47" s="44"/>
      <c r="T47" s="44"/>
      <c r="U47" s="48"/>
      <c r="V47" s="44"/>
      <c r="W47" s="44"/>
      <c r="X47" s="48"/>
      <c r="Y47" s="44"/>
      <c r="Z47" s="44" t="s">
        <v>652</v>
      </c>
      <c r="AA47" s="59" t="s">
        <v>653</v>
      </c>
      <c r="AB47" s="48">
        <v>0</v>
      </c>
      <c r="AC47" s="48" t="s">
        <v>654</v>
      </c>
      <c r="AD47" s="59" t="s">
        <v>655</v>
      </c>
      <c r="AE47" s="48"/>
      <c r="AF47" s="48"/>
      <c r="AG47" s="64" t="s">
        <v>656</v>
      </c>
    </row>
    <row r="48" spans="1:35" s="36" customFormat="1">
      <c r="A48" s="75" t="s">
        <v>657</v>
      </c>
      <c r="B48" s="38" t="s">
        <v>108</v>
      </c>
      <c r="C48" s="38"/>
      <c r="D48" s="150">
        <v>2500</v>
      </c>
      <c r="E48" s="109" t="s">
        <v>89</v>
      </c>
      <c r="F48" s="30" t="s">
        <v>89</v>
      </c>
      <c r="G48" s="30" t="s">
        <v>90</v>
      </c>
      <c r="H48" s="30"/>
      <c r="I48" s="289"/>
      <c r="J48" s="289"/>
      <c r="K48" s="289"/>
      <c r="L48" s="291">
        <v>46006</v>
      </c>
      <c r="M48" s="290" t="s">
        <v>38</v>
      </c>
      <c r="N48" s="277" t="s">
        <v>264</v>
      </c>
      <c r="O48" s="38" t="s">
        <v>658</v>
      </c>
      <c r="P48" s="31" t="s">
        <v>659</v>
      </c>
      <c r="Q48" s="221"/>
      <c r="R48" s="38"/>
      <c r="S48" s="33"/>
      <c r="T48" s="196"/>
      <c r="U48" s="30"/>
      <c r="V48" s="30"/>
      <c r="W48" s="199"/>
      <c r="X48" s="29"/>
      <c r="Y48" s="33"/>
      <c r="Z48" s="30"/>
      <c r="AA48" s="55" t="s">
        <v>660</v>
      </c>
      <c r="AB48" s="36" t="s">
        <v>661</v>
      </c>
      <c r="AC48" s="36">
        <v>990022453001</v>
      </c>
      <c r="AD48" s="36" t="s">
        <v>662</v>
      </c>
      <c r="AE48" s="36" t="s">
        <v>53</v>
      </c>
      <c r="AG48" s="64" t="s">
        <v>663</v>
      </c>
      <c r="AH48" s="39" t="s">
        <v>664</v>
      </c>
    </row>
    <row r="49" spans="1:35" s="36" customFormat="1">
      <c r="A49" s="103" t="s">
        <v>665</v>
      </c>
      <c r="B49" s="48" t="s">
        <v>197</v>
      </c>
      <c r="C49" s="48"/>
      <c r="D49" s="152"/>
      <c r="E49" s="111" t="s">
        <v>666</v>
      </c>
      <c r="F49" s="48" t="s">
        <v>666</v>
      </c>
      <c r="G49" s="30" t="s">
        <v>37</v>
      </c>
      <c r="H49" s="30"/>
      <c r="I49" s="289"/>
      <c r="J49" s="289"/>
      <c r="K49" s="289"/>
      <c r="L49" s="291">
        <v>46006</v>
      </c>
      <c r="M49" s="290" t="s">
        <v>38</v>
      </c>
      <c r="N49" s="277" t="s">
        <v>264</v>
      </c>
      <c r="O49" s="48" t="s">
        <v>667</v>
      </c>
      <c r="P49" s="40" t="s">
        <v>668</v>
      </c>
      <c r="Q49" s="244"/>
      <c r="R49" s="48"/>
      <c r="S49" s="40"/>
      <c r="T49" s="40"/>
      <c r="U49" s="48"/>
      <c r="V49" s="40"/>
      <c r="W49" s="40"/>
      <c r="X49" s="48"/>
      <c r="Y49" s="48"/>
      <c r="Z49" s="40" t="s">
        <v>669</v>
      </c>
      <c r="AA49" s="59" t="s">
        <v>670</v>
      </c>
      <c r="AB49" s="48" t="s">
        <v>671</v>
      </c>
      <c r="AC49" s="48" t="s">
        <v>672</v>
      </c>
      <c r="AD49" s="48" t="s">
        <v>673</v>
      </c>
      <c r="AE49" s="48"/>
      <c r="AF49" s="48"/>
      <c r="AG49" s="64" t="s">
        <v>674</v>
      </c>
    </row>
    <row r="50" spans="1:35" s="36" customFormat="1" ht="43.2">
      <c r="A50" s="77" t="s">
        <v>675</v>
      </c>
      <c r="B50" s="48" t="s">
        <v>676</v>
      </c>
      <c r="C50" s="48"/>
      <c r="D50" s="152">
        <v>2000</v>
      </c>
      <c r="E50" s="111" t="s">
        <v>36</v>
      </c>
      <c r="F50" s="48" t="s">
        <v>36</v>
      </c>
      <c r="G50" s="30" t="s">
        <v>37</v>
      </c>
      <c r="H50" s="30"/>
      <c r="I50" s="289"/>
      <c r="J50" s="289"/>
      <c r="K50" s="289"/>
      <c r="L50" s="291">
        <v>46006</v>
      </c>
      <c r="M50" s="290" t="s">
        <v>38</v>
      </c>
      <c r="N50" s="277" t="s">
        <v>377</v>
      </c>
      <c r="O50" s="48" t="s">
        <v>677</v>
      </c>
      <c r="P50" s="44" t="s">
        <v>678</v>
      </c>
      <c r="Q50" s="242"/>
      <c r="R50" s="48"/>
      <c r="S50" s="44"/>
      <c r="T50" s="44"/>
      <c r="U50" s="36" t="s">
        <v>679</v>
      </c>
      <c r="V50" s="36" t="s">
        <v>680</v>
      </c>
      <c r="X50" s="42"/>
      <c r="Y50" s="60"/>
      <c r="Z50" s="48"/>
      <c r="AA50" s="54" t="s">
        <v>681</v>
      </c>
      <c r="AB50" s="48" t="s">
        <v>682</v>
      </c>
      <c r="AC50" s="320" t="s">
        <v>683</v>
      </c>
      <c r="AD50" s="60" t="s">
        <v>684</v>
      </c>
      <c r="AE50" s="48" t="s">
        <v>53</v>
      </c>
      <c r="AG50" s="36" t="s">
        <v>685</v>
      </c>
      <c r="AH50" s="180" t="s">
        <v>686</v>
      </c>
      <c r="AI50" s="36" t="s">
        <v>687</v>
      </c>
    </row>
    <row r="51" spans="1:35" s="48" customFormat="1">
      <c r="A51" s="77" t="s">
        <v>688</v>
      </c>
      <c r="B51" s="57" t="s">
        <v>157</v>
      </c>
      <c r="C51" s="57"/>
      <c r="D51" s="151">
        <v>2000</v>
      </c>
      <c r="E51" s="110" t="s">
        <v>160</v>
      </c>
      <c r="F51" s="43" t="s">
        <v>160</v>
      </c>
      <c r="G51" s="30" t="s">
        <v>37</v>
      </c>
      <c r="H51" s="30"/>
      <c r="I51" s="288"/>
      <c r="J51" s="288"/>
      <c r="K51" s="288"/>
      <c r="L51" s="292">
        <v>46006</v>
      </c>
      <c r="M51" s="293" t="s">
        <v>38</v>
      </c>
      <c r="N51" s="281" t="s">
        <v>377</v>
      </c>
      <c r="O51" s="57" t="s">
        <v>689</v>
      </c>
      <c r="P51" s="51" t="s">
        <v>690</v>
      </c>
      <c r="Q51" s="242"/>
      <c r="R51" s="43"/>
      <c r="S51" s="43"/>
      <c r="T51" s="43"/>
      <c r="U51" s="43"/>
      <c r="V51" s="43"/>
      <c r="W51" s="43"/>
      <c r="X51" s="42"/>
      <c r="Y51" s="52"/>
      <c r="Z51" s="43"/>
      <c r="AA51" s="54" t="s">
        <v>691</v>
      </c>
      <c r="AB51" s="48" t="s">
        <v>692</v>
      </c>
      <c r="AD51" s="48" t="s">
        <v>693</v>
      </c>
      <c r="AF51" s="36"/>
      <c r="AG51" s="48" t="s">
        <v>694</v>
      </c>
      <c r="AH51" s="180" t="s">
        <v>695</v>
      </c>
      <c r="AI51" s="48" t="s">
        <v>696</v>
      </c>
    </row>
    <row r="52" spans="1:35" s="36" customFormat="1">
      <c r="A52" s="75" t="s">
        <v>697</v>
      </c>
      <c r="B52" s="38" t="s">
        <v>88</v>
      </c>
      <c r="C52" s="38"/>
      <c r="D52" s="150">
        <v>5000</v>
      </c>
      <c r="E52" s="109" t="s">
        <v>698</v>
      </c>
      <c r="F52" s="37" t="s">
        <v>89</v>
      </c>
      <c r="G52" s="30" t="s">
        <v>90</v>
      </c>
      <c r="H52" s="30"/>
      <c r="I52" s="289"/>
      <c r="J52" s="289"/>
      <c r="K52" s="289"/>
      <c r="L52" s="291">
        <v>46006</v>
      </c>
      <c r="M52" s="290" t="s">
        <v>38</v>
      </c>
      <c r="N52" s="277" t="s">
        <v>264</v>
      </c>
      <c r="O52" s="38" t="s">
        <v>699</v>
      </c>
      <c r="P52" s="31" t="s">
        <v>700</v>
      </c>
      <c r="Q52" s="217"/>
      <c r="R52" s="43"/>
      <c r="S52" s="43"/>
      <c r="T52" s="202"/>
      <c r="U52" s="43"/>
      <c r="V52" s="43"/>
      <c r="W52" s="202"/>
      <c r="X52" s="29"/>
      <c r="Y52" s="33"/>
      <c r="Z52" s="30"/>
      <c r="AA52" s="55" t="s">
        <v>701</v>
      </c>
      <c r="AB52" s="36" t="s">
        <v>702</v>
      </c>
      <c r="AD52" s="36" t="s">
        <v>703</v>
      </c>
      <c r="AE52" s="36" t="s">
        <v>704</v>
      </c>
      <c r="AG52" s="64" t="s">
        <v>705</v>
      </c>
      <c r="AH52" s="180" t="s">
        <v>706</v>
      </c>
      <c r="AI52" s="36" t="s">
        <v>707</v>
      </c>
    </row>
    <row r="53" spans="1:35" s="48" customFormat="1">
      <c r="A53" s="107" t="s">
        <v>708</v>
      </c>
      <c r="B53" s="38" t="s">
        <v>130</v>
      </c>
      <c r="C53" s="38"/>
      <c r="D53" s="150">
        <v>2500</v>
      </c>
      <c r="E53" s="109" t="s">
        <v>89</v>
      </c>
      <c r="F53" s="30" t="s">
        <v>89</v>
      </c>
      <c r="G53" s="30" t="s">
        <v>90</v>
      </c>
      <c r="H53" s="30"/>
      <c r="I53" s="288"/>
      <c r="J53" s="288"/>
      <c r="K53" s="288"/>
      <c r="L53" s="292">
        <v>46006</v>
      </c>
      <c r="M53" s="293" t="s">
        <v>38</v>
      </c>
      <c r="N53" s="280" t="s">
        <v>709</v>
      </c>
      <c r="O53" s="38" t="s">
        <v>710</v>
      </c>
      <c r="P53" s="31" t="s">
        <v>711</v>
      </c>
      <c r="Q53" s="217"/>
      <c r="R53" s="38"/>
      <c r="S53" s="31"/>
      <c r="T53" s="200"/>
      <c r="U53" s="29" t="s">
        <v>712</v>
      </c>
      <c r="V53" s="31" t="s">
        <v>713</v>
      </c>
      <c r="W53" s="200"/>
      <c r="X53" s="29"/>
      <c r="Y53" s="33"/>
      <c r="Z53" s="30"/>
      <c r="AA53" s="55" t="s">
        <v>714</v>
      </c>
      <c r="AB53" s="36" t="s">
        <v>715</v>
      </c>
      <c r="AC53" s="64" t="s">
        <v>716</v>
      </c>
      <c r="AD53" s="36" t="s">
        <v>717</v>
      </c>
      <c r="AE53" s="36" t="s">
        <v>53</v>
      </c>
      <c r="AG53" s="48" t="s">
        <v>685</v>
      </c>
    </row>
    <row r="54" spans="1:35" s="36" customFormat="1" ht="28.8">
      <c r="A54" s="75" t="s">
        <v>718</v>
      </c>
      <c r="B54" s="38" t="s">
        <v>88</v>
      </c>
      <c r="C54" s="38"/>
      <c r="D54" s="150">
        <v>5000</v>
      </c>
      <c r="E54" s="109" t="s">
        <v>212</v>
      </c>
      <c r="F54" s="37" t="s">
        <v>518</v>
      </c>
      <c r="G54" s="30" t="s">
        <v>37</v>
      </c>
      <c r="H54" s="30" t="s">
        <v>54</v>
      </c>
      <c r="I54" s="289" t="s">
        <v>60</v>
      </c>
      <c r="J54" s="289" t="s">
        <v>719</v>
      </c>
      <c r="K54" s="289"/>
      <c r="L54" s="291">
        <v>46007</v>
      </c>
      <c r="M54" s="290" t="s">
        <v>38</v>
      </c>
      <c r="N54" s="276" t="s">
        <v>720</v>
      </c>
      <c r="O54" s="38" t="s">
        <v>721</v>
      </c>
      <c r="P54" s="31" t="s">
        <v>722</v>
      </c>
      <c r="Q54" s="239"/>
      <c r="R54" s="43"/>
      <c r="S54" s="43"/>
      <c r="T54" s="43"/>
      <c r="U54" s="43"/>
      <c r="V54" s="43"/>
      <c r="W54" s="43"/>
      <c r="X54" s="29"/>
      <c r="Y54" s="33"/>
      <c r="Z54" s="30"/>
      <c r="AA54" s="55" t="s">
        <v>723</v>
      </c>
      <c r="AB54" s="36" t="s">
        <v>724</v>
      </c>
      <c r="AD54" s="36" t="s">
        <v>725</v>
      </c>
      <c r="AG54" s="64" t="s">
        <v>726</v>
      </c>
      <c r="AH54" s="180" t="s">
        <v>727</v>
      </c>
      <c r="AI54" s="36" t="s">
        <v>728</v>
      </c>
    </row>
    <row r="55" spans="1:35" s="36" customFormat="1" ht="28.8">
      <c r="A55" s="119" t="s">
        <v>729</v>
      </c>
      <c r="B55" s="128" t="s">
        <v>336</v>
      </c>
      <c r="C55" s="38"/>
      <c r="D55" s="150">
        <v>1000</v>
      </c>
      <c r="E55" s="109" t="s">
        <v>160</v>
      </c>
      <c r="F55" s="126" t="s">
        <v>160</v>
      </c>
      <c r="G55" s="30" t="s">
        <v>37</v>
      </c>
      <c r="H55" s="30"/>
      <c r="I55" s="289" t="s">
        <v>60</v>
      </c>
      <c r="J55" s="289" t="s">
        <v>730</v>
      </c>
      <c r="K55" s="289"/>
      <c r="L55" s="291">
        <v>46006</v>
      </c>
      <c r="M55" s="290" t="s">
        <v>38</v>
      </c>
      <c r="N55" s="276" t="s">
        <v>731</v>
      </c>
      <c r="O55" s="38" t="s">
        <v>732</v>
      </c>
      <c r="P55" s="33" t="s">
        <v>733</v>
      </c>
      <c r="Q55" s="137">
        <v>3158833796</v>
      </c>
      <c r="R55" s="147" t="s">
        <v>734</v>
      </c>
      <c r="S55" s="260" t="s">
        <v>735</v>
      </c>
      <c r="T55" s="148">
        <v>3125651476</v>
      </c>
      <c r="U55" s="43"/>
      <c r="V55" s="43"/>
      <c r="W55" s="43"/>
      <c r="X55" s="29"/>
      <c r="Y55" s="33"/>
      <c r="Z55" s="124" t="s">
        <v>735</v>
      </c>
      <c r="AA55" s="120" t="s">
        <v>736</v>
      </c>
      <c r="AB55" s="129" t="s">
        <v>737</v>
      </c>
      <c r="AC55" s="129" t="s">
        <v>738</v>
      </c>
      <c r="AD55" s="144" t="s">
        <v>739</v>
      </c>
      <c r="AE55" s="36" t="s">
        <v>53</v>
      </c>
      <c r="AF55" s="48"/>
      <c r="AG55" s="36" t="s">
        <v>72</v>
      </c>
      <c r="AH55" s="180" t="s">
        <v>740</v>
      </c>
      <c r="AI55" s="36" t="s">
        <v>741</v>
      </c>
    </row>
    <row r="56" spans="1:35" s="48" customFormat="1" ht="43.2">
      <c r="A56" s="119" t="s">
        <v>742</v>
      </c>
      <c r="B56" s="128" t="s">
        <v>157</v>
      </c>
      <c r="C56" s="128" t="s">
        <v>157</v>
      </c>
      <c r="D56" s="151">
        <v>2000</v>
      </c>
      <c r="E56" s="125" t="s">
        <v>89</v>
      </c>
      <c r="F56" s="43" t="s">
        <v>89</v>
      </c>
      <c r="G56" s="30" t="s">
        <v>90</v>
      </c>
      <c r="H56" s="30"/>
      <c r="I56" s="289" t="s">
        <v>60</v>
      </c>
      <c r="J56" s="288" t="s">
        <v>743</v>
      </c>
      <c r="K56" s="288" t="s">
        <v>744</v>
      </c>
      <c r="L56" s="292">
        <v>46007</v>
      </c>
      <c r="M56" s="293" t="s">
        <v>38</v>
      </c>
      <c r="N56" s="281"/>
      <c r="O56" s="128" t="s">
        <v>745</v>
      </c>
      <c r="P56" s="130" t="s">
        <v>746</v>
      </c>
      <c r="Q56" s="226" t="s">
        <v>747</v>
      </c>
      <c r="R56" s="126"/>
      <c r="S56" s="130"/>
      <c r="T56" s="212"/>
      <c r="U56" s="137" t="s">
        <v>743</v>
      </c>
      <c r="V56" s="145" t="s">
        <v>748</v>
      </c>
      <c r="W56" s="212" t="s">
        <v>749</v>
      </c>
      <c r="X56" s="42"/>
      <c r="Y56" s="52"/>
      <c r="Z56" s="137" t="s">
        <v>746</v>
      </c>
      <c r="AA56" s="120" t="s">
        <v>750</v>
      </c>
      <c r="AB56" s="139" t="s">
        <v>751</v>
      </c>
      <c r="AC56" s="137" t="s">
        <v>752</v>
      </c>
      <c r="AD56" s="136" t="s">
        <v>753</v>
      </c>
      <c r="AE56" s="48" t="s">
        <v>53</v>
      </c>
      <c r="AF56" s="36"/>
      <c r="AG56" s="48" t="s">
        <v>754</v>
      </c>
    </row>
    <row r="57" spans="1:35" s="36" customFormat="1" ht="28.8">
      <c r="A57" s="119" t="s">
        <v>755</v>
      </c>
      <c r="B57" s="128" t="s">
        <v>336</v>
      </c>
      <c r="C57" s="128"/>
      <c r="D57" s="150">
        <v>1000</v>
      </c>
      <c r="E57" s="109" t="s">
        <v>756</v>
      </c>
      <c r="F57" s="30" t="s">
        <v>160</v>
      </c>
      <c r="G57" s="30" t="s">
        <v>37</v>
      </c>
      <c r="H57" s="30" t="s">
        <v>54</v>
      </c>
      <c r="I57" s="289" t="s">
        <v>60</v>
      </c>
      <c r="J57" s="289" t="s">
        <v>757</v>
      </c>
      <c r="K57" s="289" t="s">
        <v>758</v>
      </c>
      <c r="L57" s="291">
        <v>46006</v>
      </c>
      <c r="M57" s="290" t="s">
        <v>38</v>
      </c>
      <c r="N57" s="277"/>
      <c r="O57" s="128" t="s">
        <v>759</v>
      </c>
      <c r="P57" s="130" t="s">
        <v>760</v>
      </c>
      <c r="Q57" s="240">
        <v>3508563858</v>
      </c>
      <c r="R57" s="128" t="s">
        <v>761</v>
      </c>
      <c r="S57" s="138" t="s">
        <v>762</v>
      </c>
      <c r="T57" s="131">
        <v>3112605747</v>
      </c>
      <c r="U57" s="127" t="s">
        <v>763</v>
      </c>
      <c r="V57" s="131" t="s">
        <v>764</v>
      </c>
      <c r="W57" s="131">
        <v>3174326371</v>
      </c>
      <c r="X57" s="29"/>
      <c r="Y57" s="33"/>
      <c r="Z57" s="124" t="s">
        <v>765</v>
      </c>
      <c r="AA57" s="120" t="s">
        <v>766</v>
      </c>
      <c r="AB57" s="129">
        <v>7627763</v>
      </c>
      <c r="AC57" s="129" t="s">
        <v>767</v>
      </c>
      <c r="AD57" s="138" t="s">
        <v>768</v>
      </c>
      <c r="AE57" s="36" t="s">
        <v>704</v>
      </c>
      <c r="AG57" s="36" t="s">
        <v>334</v>
      </c>
    </row>
    <row r="58" spans="1:35" s="36" customFormat="1">
      <c r="A58" s="77" t="s">
        <v>769</v>
      </c>
      <c r="B58" s="57" t="s">
        <v>197</v>
      </c>
      <c r="C58" s="57"/>
      <c r="D58" s="151">
        <v>1500</v>
      </c>
      <c r="E58" s="116" t="s">
        <v>36</v>
      </c>
      <c r="F58" s="37" t="s">
        <v>36</v>
      </c>
      <c r="G58" s="30" t="s">
        <v>37</v>
      </c>
      <c r="H58" s="30"/>
      <c r="I58" s="289"/>
      <c r="J58" s="289"/>
      <c r="K58" s="289"/>
      <c r="L58" s="291">
        <v>46007</v>
      </c>
      <c r="M58" s="290" t="s">
        <v>38</v>
      </c>
      <c r="N58" s="277" t="s">
        <v>264</v>
      </c>
      <c r="O58" s="61" t="s">
        <v>770</v>
      </c>
      <c r="P58" s="51" t="s">
        <v>771</v>
      </c>
      <c r="Q58" s="242"/>
      <c r="R58" s="61"/>
      <c r="S58" s="51"/>
      <c r="T58" s="51"/>
      <c r="U58" s="42" t="s">
        <v>772</v>
      </c>
      <c r="V58" s="44" t="s">
        <v>773</v>
      </c>
      <c r="W58" s="44"/>
      <c r="X58" s="42"/>
      <c r="Y58" s="44"/>
      <c r="Z58" s="45" t="s">
        <v>771</v>
      </c>
      <c r="AA58" s="54" t="s">
        <v>774</v>
      </c>
      <c r="AB58" s="48" t="s">
        <v>775</v>
      </c>
      <c r="AC58" s="48"/>
      <c r="AD58" s="59" t="s">
        <v>776</v>
      </c>
      <c r="AE58" s="48"/>
      <c r="AF58" s="48"/>
      <c r="AG58" s="64" t="s">
        <v>777</v>
      </c>
      <c r="AH58" s="36">
        <v>5697375697</v>
      </c>
      <c r="AI58" s="36" t="s">
        <v>573</v>
      </c>
    </row>
    <row r="59" spans="1:35" s="36" customFormat="1" ht="43.2">
      <c r="A59" s="77" t="s">
        <v>778</v>
      </c>
      <c r="B59" s="42" t="s">
        <v>349</v>
      </c>
      <c r="C59" s="42"/>
      <c r="D59" s="153">
        <v>2500</v>
      </c>
      <c r="E59" s="110" t="s">
        <v>212</v>
      </c>
      <c r="F59" s="37" t="s">
        <v>212</v>
      </c>
      <c r="G59" s="30" t="s">
        <v>37</v>
      </c>
      <c r="H59" s="30"/>
      <c r="I59" s="289"/>
      <c r="J59" s="289"/>
      <c r="K59" s="289"/>
      <c r="L59" s="291">
        <v>46006</v>
      </c>
      <c r="M59" s="290" t="s">
        <v>38</v>
      </c>
      <c r="N59" s="276" t="s">
        <v>779</v>
      </c>
      <c r="O59" s="57" t="s">
        <v>780</v>
      </c>
      <c r="P59" s="52" t="s">
        <v>781</v>
      </c>
      <c r="Q59" s="246"/>
      <c r="R59" s="37"/>
      <c r="S59" s="37"/>
      <c r="T59" s="37"/>
      <c r="U59" s="37"/>
      <c r="V59" s="37"/>
      <c r="W59" s="37"/>
      <c r="X59" s="42"/>
      <c r="Y59" s="52"/>
      <c r="Z59" s="180" t="s">
        <v>782</v>
      </c>
      <c r="AA59" s="54" t="s">
        <v>783</v>
      </c>
      <c r="AB59" s="48" t="s">
        <v>784</v>
      </c>
      <c r="AC59" s="48"/>
      <c r="AD59" s="48" t="s">
        <v>785</v>
      </c>
      <c r="AE59" s="48" t="s">
        <v>704</v>
      </c>
      <c r="AG59" s="36" t="s">
        <v>786</v>
      </c>
      <c r="AH59" s="180" t="s">
        <v>787</v>
      </c>
      <c r="AI59" s="36" t="s">
        <v>788</v>
      </c>
    </row>
    <row r="60" spans="1:35" s="36" customFormat="1">
      <c r="A60" s="119" t="s">
        <v>789</v>
      </c>
      <c r="B60" s="127" t="s">
        <v>349</v>
      </c>
      <c r="C60" s="127" t="s">
        <v>34</v>
      </c>
      <c r="D60" s="150">
        <v>2500</v>
      </c>
      <c r="E60" s="125" t="s">
        <v>89</v>
      </c>
      <c r="F60" s="30" t="s">
        <v>89</v>
      </c>
      <c r="G60" s="30" t="s">
        <v>90</v>
      </c>
      <c r="H60" s="30"/>
      <c r="I60" s="289"/>
      <c r="J60" s="289"/>
      <c r="K60" s="289"/>
      <c r="L60" s="291">
        <v>46006</v>
      </c>
      <c r="M60" s="290" t="s">
        <v>38</v>
      </c>
      <c r="N60" s="277" t="s">
        <v>264</v>
      </c>
      <c r="O60" s="128" t="s">
        <v>790</v>
      </c>
      <c r="P60" s="130" t="s">
        <v>791</v>
      </c>
      <c r="Q60" s="230">
        <v>5545252816</v>
      </c>
      <c r="R60" s="128" t="s">
        <v>792</v>
      </c>
      <c r="S60" s="130" t="s">
        <v>793</v>
      </c>
      <c r="T60" s="203">
        <v>5554804145</v>
      </c>
      <c r="U60" s="37"/>
      <c r="V60" s="37"/>
      <c r="W60" s="195"/>
      <c r="X60" s="29"/>
      <c r="Y60" s="33"/>
      <c r="Z60" s="30"/>
      <c r="AA60" s="120" t="s">
        <v>794</v>
      </c>
      <c r="AB60" s="129" t="s">
        <v>795</v>
      </c>
      <c r="AC60" s="139" t="s">
        <v>796</v>
      </c>
      <c r="AD60" s="36" t="s">
        <v>797</v>
      </c>
      <c r="AE60" s="36" t="s">
        <v>53</v>
      </c>
      <c r="AG60" s="36" t="s">
        <v>798</v>
      </c>
    </row>
    <row r="61" spans="1:35" s="36" customFormat="1">
      <c r="A61" s="75" t="s">
        <v>799</v>
      </c>
      <c r="B61" s="29" t="s">
        <v>349</v>
      </c>
      <c r="C61" s="29"/>
      <c r="D61" s="150">
        <v>3500</v>
      </c>
      <c r="E61" s="109" t="s">
        <v>89</v>
      </c>
      <c r="F61" s="30" t="s">
        <v>89</v>
      </c>
      <c r="G61" s="30" t="s">
        <v>90</v>
      </c>
      <c r="H61" s="30"/>
      <c r="I61" s="289" t="s">
        <v>60</v>
      </c>
      <c r="J61" s="289" t="s">
        <v>800</v>
      </c>
      <c r="K61" s="289" t="s">
        <v>801</v>
      </c>
      <c r="L61" s="291">
        <v>46006</v>
      </c>
      <c r="M61" s="290" t="s">
        <v>161</v>
      </c>
      <c r="N61" s="276" t="s">
        <v>802</v>
      </c>
      <c r="O61" s="38" t="s">
        <v>803</v>
      </c>
      <c r="P61" s="33" t="s">
        <v>804</v>
      </c>
      <c r="Q61" s="221"/>
      <c r="R61" s="37"/>
      <c r="S61" s="37"/>
      <c r="T61" s="195"/>
      <c r="U61" s="37"/>
      <c r="V61" s="37"/>
      <c r="W61" s="195"/>
      <c r="X61" s="29"/>
      <c r="Y61" s="33"/>
      <c r="Z61" s="30"/>
      <c r="AA61" s="55" t="s">
        <v>805</v>
      </c>
      <c r="AB61" s="36" t="s">
        <v>806</v>
      </c>
      <c r="AC61" s="36" t="s">
        <v>807</v>
      </c>
      <c r="AD61" s="36" t="s">
        <v>808</v>
      </c>
      <c r="AG61" s="36" t="s">
        <v>809</v>
      </c>
    </row>
    <row r="62" spans="1:35" s="36" customFormat="1" ht="28.8">
      <c r="A62" s="119" t="s">
        <v>810</v>
      </c>
      <c r="B62" s="128" t="s">
        <v>336</v>
      </c>
      <c r="C62" s="128" t="s">
        <v>336</v>
      </c>
      <c r="D62" s="150">
        <v>1000</v>
      </c>
      <c r="E62" s="125" t="s">
        <v>160</v>
      </c>
      <c r="F62" s="30" t="s">
        <v>160</v>
      </c>
      <c r="G62" s="30" t="s">
        <v>37</v>
      </c>
      <c r="H62" s="30" t="s">
        <v>54</v>
      </c>
      <c r="I62" s="289" t="s">
        <v>811</v>
      </c>
      <c r="J62" s="289" t="s">
        <v>812</v>
      </c>
      <c r="K62" s="289" t="s">
        <v>486</v>
      </c>
      <c r="L62" s="291">
        <v>46007</v>
      </c>
      <c r="M62" s="290" t="s">
        <v>289</v>
      </c>
      <c r="N62" s="276" t="s">
        <v>813</v>
      </c>
      <c r="O62" s="128" t="s">
        <v>812</v>
      </c>
      <c r="P62" s="135" t="s">
        <v>814</v>
      </c>
      <c r="Q62" s="247">
        <v>3123773932</v>
      </c>
      <c r="R62" s="255" t="s">
        <v>815</v>
      </c>
      <c r="S62" s="256" t="s">
        <v>816</v>
      </c>
      <c r="T62" s="148">
        <v>3123493732</v>
      </c>
      <c r="U62" s="255" t="s">
        <v>817</v>
      </c>
      <c r="V62" s="261" t="s">
        <v>818</v>
      </c>
      <c r="W62" s="148">
        <v>3116274999</v>
      </c>
      <c r="X62" s="29"/>
      <c r="Y62" s="33"/>
      <c r="Z62" s="137" t="s">
        <v>819</v>
      </c>
      <c r="AA62" s="120" t="s">
        <v>820</v>
      </c>
      <c r="AB62" s="129" t="s">
        <v>821</v>
      </c>
      <c r="AC62" s="137" t="s">
        <v>822</v>
      </c>
      <c r="AD62" s="136" t="s">
        <v>823</v>
      </c>
      <c r="AE62" s="36" t="s">
        <v>53</v>
      </c>
      <c r="AG62" s="36" t="s">
        <v>531</v>
      </c>
      <c r="AH62" s="180" t="s">
        <v>824</v>
      </c>
      <c r="AI62" s="36" t="s">
        <v>825</v>
      </c>
    </row>
    <row r="63" spans="1:35" s="36" customFormat="1">
      <c r="A63" s="75" t="s">
        <v>826</v>
      </c>
      <c r="B63" s="38" t="s">
        <v>336</v>
      </c>
      <c r="C63" s="38"/>
      <c r="D63" s="150">
        <v>2000</v>
      </c>
      <c r="E63" s="109" t="s">
        <v>59</v>
      </c>
      <c r="F63" s="30" t="s">
        <v>59</v>
      </c>
      <c r="G63" s="30" t="s">
        <v>37</v>
      </c>
      <c r="H63" s="30" t="s">
        <v>54</v>
      </c>
      <c r="I63" s="289"/>
      <c r="J63" s="289"/>
      <c r="K63" s="289"/>
      <c r="L63" s="291">
        <v>46006</v>
      </c>
      <c r="M63" s="290" t="s">
        <v>38</v>
      </c>
      <c r="N63" s="277" t="s">
        <v>827</v>
      </c>
      <c r="O63" s="38" t="s">
        <v>828</v>
      </c>
      <c r="P63" s="31" t="s">
        <v>829</v>
      </c>
      <c r="Q63" s="239"/>
      <c r="R63" s="38"/>
      <c r="S63" s="31"/>
      <c r="T63" s="31"/>
      <c r="U63" s="30"/>
      <c r="V63" s="30"/>
      <c r="W63" s="30"/>
      <c r="X63" s="29"/>
      <c r="Y63" s="33"/>
      <c r="Z63" s="192" t="s">
        <v>830</v>
      </c>
      <c r="AA63" s="50" t="s">
        <v>831</v>
      </c>
      <c r="AB63" s="36" t="s">
        <v>832</v>
      </c>
      <c r="AC63" s="36" t="s">
        <v>833</v>
      </c>
      <c r="AD63" s="36" t="s">
        <v>834</v>
      </c>
      <c r="AG63" s="64" t="s">
        <v>835</v>
      </c>
      <c r="AH63" s="180" t="s">
        <v>836</v>
      </c>
      <c r="AI63" s="36" t="s">
        <v>837</v>
      </c>
    </row>
    <row r="64" spans="1:35" s="36" customFormat="1">
      <c r="A64" s="119" t="s">
        <v>838</v>
      </c>
      <c r="B64" s="127" t="s">
        <v>349</v>
      </c>
      <c r="C64" s="137" t="s">
        <v>839</v>
      </c>
      <c r="D64" s="150">
        <v>2000</v>
      </c>
      <c r="E64" s="109" t="s">
        <v>212</v>
      </c>
      <c r="F64" s="37" t="s">
        <v>212</v>
      </c>
      <c r="G64" s="30" t="s">
        <v>37</v>
      </c>
      <c r="H64" s="30"/>
      <c r="I64" s="289"/>
      <c r="J64" s="289"/>
      <c r="K64" s="289"/>
      <c r="L64" s="291">
        <v>46006</v>
      </c>
      <c r="M64" s="290" t="s">
        <v>38</v>
      </c>
      <c r="N64" s="276" t="s">
        <v>840</v>
      </c>
      <c r="O64" s="128" t="s">
        <v>841</v>
      </c>
      <c r="P64" s="130" t="s">
        <v>842</v>
      </c>
      <c r="Q64" s="240" t="s">
        <v>843</v>
      </c>
      <c r="R64" s="255" t="s">
        <v>844</v>
      </c>
      <c r="S64" s="256" t="s">
        <v>845</v>
      </c>
      <c r="T64" s="148" t="s">
        <v>846</v>
      </c>
      <c r="U64" s="255" t="s">
        <v>847</v>
      </c>
      <c r="V64" s="256" t="s">
        <v>848</v>
      </c>
      <c r="W64" s="148">
        <v>52333720919</v>
      </c>
      <c r="X64" s="29"/>
      <c r="Y64" s="33"/>
      <c r="Z64" s="137" t="s">
        <v>849</v>
      </c>
      <c r="AA64" s="120" t="s">
        <v>850</v>
      </c>
      <c r="AB64" s="129" t="s">
        <v>851</v>
      </c>
      <c r="AC64" s="137" t="s">
        <v>852</v>
      </c>
      <c r="AD64" s="136" t="s">
        <v>853</v>
      </c>
      <c r="AE64" s="36" t="s">
        <v>53</v>
      </c>
      <c r="AG64" s="36" t="s">
        <v>531</v>
      </c>
      <c r="AH64" s="180" t="s">
        <v>854</v>
      </c>
      <c r="AI64" s="36" t="s">
        <v>855</v>
      </c>
    </row>
    <row r="65" spans="1:69" s="36" customFormat="1">
      <c r="A65" s="75" t="s">
        <v>856</v>
      </c>
      <c r="B65" s="38" t="s">
        <v>336</v>
      </c>
      <c r="C65" s="38"/>
      <c r="D65" s="150">
        <v>2000</v>
      </c>
      <c r="E65" s="109" t="s">
        <v>698</v>
      </c>
      <c r="F65" s="30" t="s">
        <v>698</v>
      </c>
      <c r="G65" s="30" t="s">
        <v>90</v>
      </c>
      <c r="H65" s="30" t="s">
        <v>54</v>
      </c>
      <c r="I65" s="289"/>
      <c r="J65" s="289"/>
      <c r="K65" s="289"/>
      <c r="L65" s="291">
        <v>46006</v>
      </c>
      <c r="M65" s="290" t="s">
        <v>38</v>
      </c>
      <c r="N65" s="277" t="s">
        <v>264</v>
      </c>
      <c r="O65" s="38" t="s">
        <v>857</v>
      </c>
      <c r="P65" s="31" t="s">
        <v>858</v>
      </c>
      <c r="Q65" s="217"/>
      <c r="R65" s="38"/>
      <c r="S65" s="58"/>
      <c r="T65" s="201"/>
      <c r="U65" s="29" t="s">
        <v>859</v>
      </c>
      <c r="V65" s="58" t="s">
        <v>860</v>
      </c>
      <c r="W65" s="201"/>
      <c r="X65" s="29"/>
      <c r="Y65" s="33"/>
      <c r="Z65" s="30"/>
      <c r="AA65" s="22" t="s">
        <v>861</v>
      </c>
      <c r="AB65" s="16" t="s">
        <v>862</v>
      </c>
      <c r="AC65" s="16" t="s">
        <v>863</v>
      </c>
      <c r="AD65" s="36" t="s">
        <v>864</v>
      </c>
      <c r="AE65" s="36" t="s">
        <v>53</v>
      </c>
      <c r="AG65" s="64" t="s">
        <v>865</v>
      </c>
    </row>
    <row r="66" spans="1:69" s="48" customFormat="1">
      <c r="A66" s="75" t="s">
        <v>866</v>
      </c>
      <c r="B66" s="38" t="s">
        <v>157</v>
      </c>
      <c r="C66" s="38"/>
      <c r="D66" s="150">
        <v>2500</v>
      </c>
      <c r="E66" s="109" t="s">
        <v>89</v>
      </c>
      <c r="F66" s="30" t="s">
        <v>89</v>
      </c>
      <c r="G66" s="30" t="s">
        <v>90</v>
      </c>
      <c r="H66" s="30"/>
      <c r="I66" s="288"/>
      <c r="J66" s="288" t="s">
        <v>867</v>
      </c>
      <c r="K66" s="288" t="s">
        <v>868</v>
      </c>
      <c r="L66" s="292">
        <v>46006</v>
      </c>
      <c r="M66" s="293" t="s">
        <v>161</v>
      </c>
      <c r="N66" s="281" t="s">
        <v>869</v>
      </c>
      <c r="O66" s="38" t="s">
        <v>870</v>
      </c>
      <c r="P66" s="31" t="s">
        <v>871</v>
      </c>
      <c r="Q66" s="217"/>
      <c r="R66" s="30"/>
      <c r="S66" s="38"/>
      <c r="T66" s="211"/>
      <c r="U66" s="31"/>
      <c r="V66" s="30"/>
      <c r="W66" s="199"/>
      <c r="X66" s="29"/>
      <c r="Y66" s="33"/>
      <c r="Z66" s="30"/>
      <c r="AA66" s="55" t="s">
        <v>872</v>
      </c>
      <c r="AB66" s="36" t="s">
        <v>873</v>
      </c>
      <c r="AC66" s="36" t="s">
        <v>874</v>
      </c>
      <c r="AD66" s="36" t="s">
        <v>875</v>
      </c>
      <c r="AE66" s="36"/>
      <c r="AF66" s="36"/>
      <c r="AG66" s="48" t="s">
        <v>876</v>
      </c>
    </row>
    <row r="67" spans="1:69" s="36" customFormat="1">
      <c r="A67" s="119" t="s">
        <v>877</v>
      </c>
      <c r="B67" s="128" t="s">
        <v>349</v>
      </c>
      <c r="C67" s="128" t="s">
        <v>34</v>
      </c>
      <c r="D67" s="151">
        <v>3500</v>
      </c>
      <c r="E67" s="125" t="s">
        <v>89</v>
      </c>
      <c r="F67" s="43" t="s">
        <v>89</v>
      </c>
      <c r="G67" s="43" t="s">
        <v>90</v>
      </c>
      <c r="H67" s="43"/>
      <c r="I67" s="289" t="s">
        <v>60</v>
      </c>
      <c r="J67" s="289" t="s">
        <v>878</v>
      </c>
      <c r="K67" s="289"/>
      <c r="L67" s="291">
        <v>46007</v>
      </c>
      <c r="M67" s="290" t="s">
        <v>38</v>
      </c>
      <c r="N67" s="277" t="s">
        <v>879</v>
      </c>
      <c r="O67" s="128" t="s">
        <v>880</v>
      </c>
      <c r="P67" s="130" t="s">
        <v>881</v>
      </c>
      <c r="Q67" s="226">
        <v>5539113832</v>
      </c>
      <c r="R67" s="128"/>
      <c r="S67" s="130"/>
      <c r="T67" s="212"/>
      <c r="U67" s="43"/>
      <c r="V67" s="43"/>
      <c r="W67" s="202"/>
      <c r="X67" s="42"/>
      <c r="Y67" s="52"/>
      <c r="Z67" s="137" t="s">
        <v>882</v>
      </c>
      <c r="AA67" s="120" t="s">
        <v>883</v>
      </c>
      <c r="AB67" s="139" t="s">
        <v>884</v>
      </c>
      <c r="AC67" s="137" t="s">
        <v>885</v>
      </c>
      <c r="AD67" s="136" t="s">
        <v>886</v>
      </c>
      <c r="AE67" s="48" t="s">
        <v>887</v>
      </c>
      <c r="AF67" s="48"/>
      <c r="AG67" s="36" t="s">
        <v>888</v>
      </c>
    </row>
    <row r="68" spans="1:69" s="36" customFormat="1">
      <c r="A68" s="75" t="s">
        <v>889</v>
      </c>
      <c r="B68" s="38" t="s">
        <v>197</v>
      </c>
      <c r="C68" s="38"/>
      <c r="D68" s="150">
        <v>2500</v>
      </c>
      <c r="E68" s="109" t="s">
        <v>89</v>
      </c>
      <c r="F68" s="30" t="s">
        <v>89</v>
      </c>
      <c r="G68" s="30" t="s">
        <v>90</v>
      </c>
      <c r="H68" s="30"/>
      <c r="I68" s="289" t="s">
        <v>60</v>
      </c>
      <c r="J68" s="289" t="s">
        <v>890</v>
      </c>
      <c r="K68" s="289" t="s">
        <v>891</v>
      </c>
      <c r="L68" s="291">
        <v>46007</v>
      </c>
      <c r="M68" s="290" t="s">
        <v>38</v>
      </c>
      <c r="N68" s="277"/>
      <c r="O68" s="38" t="s">
        <v>892</v>
      </c>
      <c r="P68" s="39" t="s">
        <v>893</v>
      </c>
      <c r="Q68" s="217"/>
      <c r="R68" s="38"/>
      <c r="S68" s="58"/>
      <c r="T68" s="201"/>
      <c r="U68" s="30"/>
      <c r="V68" s="30"/>
      <c r="W68" s="199"/>
      <c r="X68" s="29"/>
      <c r="Y68" s="58"/>
      <c r="Z68" s="30"/>
      <c r="AA68" s="55" t="s">
        <v>894</v>
      </c>
      <c r="AB68" s="36">
        <v>56971356959</v>
      </c>
      <c r="AC68" s="36" t="s">
        <v>895</v>
      </c>
      <c r="AD68" s="36" t="s">
        <v>896</v>
      </c>
      <c r="AE68" s="36" t="s">
        <v>53</v>
      </c>
      <c r="AG68" s="64" t="s">
        <v>897</v>
      </c>
    </row>
    <row r="69" spans="1:69" s="36" customFormat="1" ht="20.399999999999999">
      <c r="A69" s="119" t="s">
        <v>898</v>
      </c>
      <c r="B69" s="128" t="s">
        <v>436</v>
      </c>
      <c r="C69" s="133" t="s">
        <v>899</v>
      </c>
      <c r="D69" s="150">
        <v>2500</v>
      </c>
      <c r="E69" s="109" t="s">
        <v>900</v>
      </c>
      <c r="F69" s="37" t="s">
        <v>518</v>
      </c>
      <c r="G69" s="30" t="s">
        <v>37</v>
      </c>
      <c r="H69" s="30" t="s">
        <v>54</v>
      </c>
      <c r="I69" s="289" t="s">
        <v>60</v>
      </c>
      <c r="J69" s="289" t="s">
        <v>901</v>
      </c>
      <c r="K69" s="289" t="s">
        <v>902</v>
      </c>
      <c r="L69" s="291">
        <v>46007</v>
      </c>
      <c r="M69" s="290" t="s">
        <v>38</v>
      </c>
      <c r="N69" s="277"/>
      <c r="O69" s="128" t="s">
        <v>903</v>
      </c>
      <c r="P69" s="130" t="s">
        <v>904</v>
      </c>
      <c r="Q69" s="240">
        <v>34607375835</v>
      </c>
      <c r="R69" s="128" t="s">
        <v>905</v>
      </c>
      <c r="S69" s="138" t="s">
        <v>906</v>
      </c>
      <c r="T69" s="131">
        <v>34662088150</v>
      </c>
      <c r="U69" s="29"/>
      <c r="V69" s="31"/>
      <c r="W69" s="31"/>
      <c r="Z69" s="124" t="s">
        <v>906</v>
      </c>
      <c r="AA69" s="120" t="s">
        <v>907</v>
      </c>
      <c r="AB69" s="129" t="s">
        <v>908</v>
      </c>
      <c r="AC69" s="129" t="s">
        <v>909</v>
      </c>
      <c r="AD69" s="138" t="s">
        <v>910</v>
      </c>
      <c r="AE69" s="36" t="s">
        <v>53</v>
      </c>
      <c r="AG69" s="36" t="s">
        <v>334</v>
      </c>
    </row>
    <row r="70" spans="1:69" s="36" customFormat="1" ht="28.8">
      <c r="A70" s="119" t="s">
        <v>911</v>
      </c>
      <c r="B70" s="128" t="s">
        <v>57</v>
      </c>
      <c r="C70" s="128" t="s">
        <v>912</v>
      </c>
      <c r="D70" s="150">
        <v>1500</v>
      </c>
      <c r="E70" s="125" t="s">
        <v>698</v>
      </c>
      <c r="F70" s="30" t="s">
        <v>698</v>
      </c>
      <c r="G70" s="30" t="s">
        <v>90</v>
      </c>
      <c r="H70" s="30" t="s">
        <v>54</v>
      </c>
      <c r="I70" s="289" t="s">
        <v>60</v>
      </c>
      <c r="J70" s="289"/>
      <c r="K70" s="289"/>
      <c r="L70" s="291">
        <v>46004</v>
      </c>
      <c r="M70" s="290" t="s">
        <v>289</v>
      </c>
      <c r="N70" s="277"/>
      <c r="O70" s="128" t="s">
        <v>913</v>
      </c>
      <c r="P70" s="130" t="s">
        <v>914</v>
      </c>
      <c r="Q70" s="220" t="s">
        <v>915</v>
      </c>
      <c r="R70" s="137" t="s">
        <v>916</v>
      </c>
      <c r="S70" s="137" t="s">
        <v>917</v>
      </c>
      <c r="T70" s="212">
        <v>17866855165</v>
      </c>
      <c r="U70" s="137" t="s">
        <v>918</v>
      </c>
      <c r="V70" s="137" t="s">
        <v>919</v>
      </c>
      <c r="W70" s="203">
        <v>17869055764</v>
      </c>
      <c r="X70" s="29"/>
      <c r="Y70" s="33"/>
      <c r="Z70" s="137" t="s">
        <v>920</v>
      </c>
      <c r="AA70" s="120" t="s">
        <v>921</v>
      </c>
      <c r="AB70" s="139" t="s">
        <v>922</v>
      </c>
      <c r="AD70" s="144" t="s">
        <v>923</v>
      </c>
      <c r="AE70" s="36" t="s">
        <v>53</v>
      </c>
      <c r="AG70" s="64" t="s">
        <v>334</v>
      </c>
    </row>
    <row r="71" spans="1:69" s="36" customFormat="1">
      <c r="A71" s="159" t="s">
        <v>924</v>
      </c>
      <c r="B71" s="38" t="s">
        <v>76</v>
      </c>
      <c r="C71" s="38"/>
      <c r="D71" s="150">
        <v>2000</v>
      </c>
      <c r="E71" s="109" t="s">
        <v>36</v>
      </c>
      <c r="F71" s="30" t="s">
        <v>36</v>
      </c>
      <c r="G71" s="30" t="s">
        <v>37</v>
      </c>
      <c r="H71" s="30"/>
      <c r="I71" s="289"/>
      <c r="J71" s="289"/>
      <c r="K71" s="289"/>
      <c r="L71" s="291">
        <v>46007</v>
      </c>
      <c r="M71" s="290"/>
      <c r="N71" s="277" t="s">
        <v>925</v>
      </c>
      <c r="O71" s="38" t="s">
        <v>926</v>
      </c>
      <c r="P71" s="33" t="s">
        <v>927</v>
      </c>
      <c r="Q71" s="245"/>
      <c r="R71" s="38"/>
      <c r="S71" s="58"/>
      <c r="T71" s="58"/>
      <c r="U71" s="29" t="s">
        <v>928</v>
      </c>
      <c r="V71" s="33" t="s">
        <v>929</v>
      </c>
      <c r="W71" s="33"/>
      <c r="Z71" s="30"/>
      <c r="AA71" s="55" t="s">
        <v>930</v>
      </c>
      <c r="AB71" s="36" t="s">
        <v>931</v>
      </c>
      <c r="AC71" s="36" t="s">
        <v>472</v>
      </c>
      <c r="AD71" s="36" t="s">
        <v>932</v>
      </c>
      <c r="AE71" s="36" t="s">
        <v>53</v>
      </c>
      <c r="AG71" s="64" t="s">
        <v>933</v>
      </c>
      <c r="AH71" s="180" t="s">
        <v>934</v>
      </c>
      <c r="AI71" s="36" t="s">
        <v>935</v>
      </c>
    </row>
    <row r="72" spans="1:69" s="36" customFormat="1">
      <c r="A72" s="75" t="s">
        <v>936</v>
      </c>
      <c r="B72" s="38" t="s">
        <v>937</v>
      </c>
      <c r="C72" s="38"/>
      <c r="D72" s="150">
        <v>1500</v>
      </c>
      <c r="E72" s="109" t="s">
        <v>89</v>
      </c>
      <c r="F72" s="37" t="s">
        <v>89</v>
      </c>
      <c r="G72" s="30" t="s">
        <v>90</v>
      </c>
      <c r="H72" s="30"/>
      <c r="I72" s="288"/>
      <c r="J72" s="288"/>
      <c r="K72" s="288"/>
      <c r="L72" s="292">
        <v>46007</v>
      </c>
      <c r="M72" s="293" t="s">
        <v>38</v>
      </c>
      <c r="N72" s="281" t="s">
        <v>264</v>
      </c>
      <c r="O72" s="38" t="s">
        <v>938</v>
      </c>
      <c r="P72" s="33" t="s">
        <v>939</v>
      </c>
      <c r="Q72" s="243" t="s">
        <v>940</v>
      </c>
      <c r="R72" s="38"/>
      <c r="S72" s="33"/>
      <c r="T72" s="196"/>
      <c r="U72" s="30"/>
      <c r="V72" s="30"/>
      <c r="W72" s="199"/>
      <c r="X72" s="29"/>
      <c r="Y72" s="33"/>
      <c r="Z72" s="30"/>
      <c r="AA72" s="50" t="s">
        <v>941</v>
      </c>
      <c r="AB72" s="36" t="s">
        <v>942</v>
      </c>
      <c r="AD72" s="36" t="s">
        <v>943</v>
      </c>
      <c r="AG72" s="48" t="s">
        <v>944</v>
      </c>
      <c r="AH72" s="48"/>
      <c r="AI72" s="48"/>
      <c r="AJ72" s="48"/>
      <c r="AK72" s="48"/>
      <c r="AL72" s="48"/>
      <c r="AM72" s="48"/>
      <c r="AN72" s="48"/>
      <c r="AO72" s="48"/>
      <c r="AP72" s="48"/>
      <c r="AQ72" s="48"/>
      <c r="AR72" s="48"/>
      <c r="AS72" s="48"/>
      <c r="AT72" s="48"/>
      <c r="AU72" s="48"/>
      <c r="AV72" s="48"/>
      <c r="AW72" s="48"/>
      <c r="AX72" s="48"/>
      <c r="AY72" s="48"/>
      <c r="AZ72" s="48"/>
      <c r="BA72" s="48"/>
      <c r="BB72" s="48"/>
      <c r="BC72" s="48"/>
      <c r="BD72" s="48"/>
      <c r="BE72" s="48"/>
      <c r="BF72" s="48"/>
      <c r="BG72" s="48"/>
      <c r="BH72" s="48"/>
      <c r="BI72" s="48"/>
      <c r="BJ72" s="48"/>
      <c r="BK72" s="48"/>
      <c r="BL72" s="48"/>
      <c r="BM72" s="48"/>
      <c r="BN72" s="48"/>
      <c r="BO72" s="48"/>
      <c r="BP72" s="48"/>
      <c r="BQ72" s="48"/>
    </row>
    <row r="73" spans="1:69" s="36" customFormat="1">
      <c r="A73" s="119" t="s">
        <v>945</v>
      </c>
      <c r="B73" s="128" t="s">
        <v>263</v>
      </c>
      <c r="C73" s="38"/>
      <c r="D73" s="150">
        <v>2500</v>
      </c>
      <c r="E73" s="109" t="s">
        <v>946</v>
      </c>
      <c r="F73" s="37" t="s">
        <v>947</v>
      </c>
      <c r="G73" s="30" t="s">
        <v>37</v>
      </c>
      <c r="H73" s="30" t="s">
        <v>54</v>
      </c>
      <c r="I73" s="289" t="s">
        <v>60</v>
      </c>
      <c r="J73" s="289" t="s">
        <v>948</v>
      </c>
      <c r="K73" s="289" t="s">
        <v>949</v>
      </c>
      <c r="L73" s="291">
        <v>46006</v>
      </c>
      <c r="M73" s="290" t="s">
        <v>289</v>
      </c>
      <c r="N73" s="277"/>
      <c r="O73" s="128" t="s">
        <v>950</v>
      </c>
      <c r="P73" s="130" t="s">
        <v>951</v>
      </c>
      <c r="Q73" s="231" t="s">
        <v>952</v>
      </c>
      <c r="R73" s="38"/>
      <c r="S73" s="58"/>
      <c r="T73" s="131"/>
      <c r="U73" s="127" t="s">
        <v>953</v>
      </c>
      <c r="V73" s="131" t="s">
        <v>954</v>
      </c>
      <c r="W73" s="131" t="s">
        <v>955</v>
      </c>
      <c r="X73" s="147" t="s">
        <v>956</v>
      </c>
      <c r="Y73" s="148" t="s">
        <v>957</v>
      </c>
      <c r="Z73" s="259" t="s">
        <v>958</v>
      </c>
      <c r="AA73" s="120" t="s">
        <v>959</v>
      </c>
      <c r="AB73" s="129" t="s">
        <v>960</v>
      </c>
      <c r="AC73" s="139" t="s">
        <v>961</v>
      </c>
      <c r="AD73" s="136" t="s">
        <v>962</v>
      </c>
      <c r="AE73" s="36" t="s">
        <v>53</v>
      </c>
      <c r="AG73" s="36" t="s">
        <v>72</v>
      </c>
      <c r="AH73" s="180" t="s">
        <v>963</v>
      </c>
      <c r="AI73" s="36" t="s">
        <v>741</v>
      </c>
    </row>
    <row r="74" spans="1:69" s="36" customFormat="1">
      <c r="A74" s="75" t="s">
        <v>964</v>
      </c>
      <c r="B74" s="48" t="s">
        <v>965</v>
      </c>
      <c r="C74" s="48"/>
      <c r="D74" s="152">
        <v>2500</v>
      </c>
      <c r="E74" s="111" t="s">
        <v>89</v>
      </c>
      <c r="F74" s="48" t="s">
        <v>89</v>
      </c>
      <c r="G74" s="30" t="s">
        <v>90</v>
      </c>
      <c r="H74" s="30"/>
      <c r="I74" s="289" t="s">
        <v>60</v>
      </c>
      <c r="J74" s="289" t="s">
        <v>966</v>
      </c>
      <c r="K74" s="289" t="s">
        <v>2061</v>
      </c>
      <c r="L74" s="291">
        <v>46007</v>
      </c>
      <c r="M74" s="290" t="s">
        <v>38</v>
      </c>
      <c r="N74" s="276" t="s">
        <v>967</v>
      </c>
      <c r="O74" s="48" t="s">
        <v>968</v>
      </c>
      <c r="P74" s="40" t="s">
        <v>969</v>
      </c>
      <c r="Q74" s="231" t="s">
        <v>970</v>
      </c>
      <c r="R74" s="48"/>
      <c r="S74" s="40"/>
      <c r="T74" s="207"/>
      <c r="U74" s="48"/>
      <c r="V74" s="48"/>
      <c r="W74" s="204"/>
      <c r="X74" s="48"/>
      <c r="Y74" s="48"/>
      <c r="Z74" s="48"/>
      <c r="AA74" s="59" t="s">
        <v>971</v>
      </c>
      <c r="AB74" s="48" t="s">
        <v>972</v>
      </c>
      <c r="AC74" s="48"/>
      <c r="AD74" s="48" t="s">
        <v>973</v>
      </c>
      <c r="AE74" s="48"/>
      <c r="AF74" s="48" t="s">
        <v>60</v>
      </c>
      <c r="AG74" s="64" t="s">
        <v>974</v>
      </c>
    </row>
    <row r="75" spans="1:69" s="36" customFormat="1" ht="20.399999999999999">
      <c r="A75" s="160" t="s">
        <v>975</v>
      </c>
      <c r="B75" s="161" t="s">
        <v>676</v>
      </c>
      <c r="C75" s="161" t="s">
        <v>976</v>
      </c>
      <c r="D75" s="150">
        <v>2500</v>
      </c>
      <c r="E75" s="165" t="s">
        <v>89</v>
      </c>
      <c r="F75" s="30" t="s">
        <v>89</v>
      </c>
      <c r="G75" s="30" t="s">
        <v>90</v>
      </c>
      <c r="H75" s="30" t="s">
        <v>54</v>
      </c>
      <c r="I75" s="289"/>
      <c r="J75" s="289" t="s">
        <v>977</v>
      </c>
      <c r="K75" s="289" t="s">
        <v>978</v>
      </c>
      <c r="L75" s="291">
        <v>46004</v>
      </c>
      <c r="M75" s="290" t="s">
        <v>289</v>
      </c>
      <c r="N75" s="279"/>
      <c r="O75" s="166" t="s">
        <v>979</v>
      </c>
      <c r="P75" s="167" t="s">
        <v>980</v>
      </c>
      <c r="Q75" s="223" t="s">
        <v>981</v>
      </c>
      <c r="R75" s="163" t="s">
        <v>982</v>
      </c>
      <c r="S75" s="163" t="s">
        <v>983</v>
      </c>
      <c r="T75" s="213" t="s">
        <v>984</v>
      </c>
      <c r="U75" s="80"/>
      <c r="V75" s="80"/>
      <c r="W75" s="205"/>
      <c r="X75" s="29"/>
      <c r="Y75" s="33"/>
      <c r="Z75" s="163" t="s">
        <v>983</v>
      </c>
      <c r="AA75" s="269" t="s">
        <v>985</v>
      </c>
      <c r="AB75" s="164" t="s">
        <v>986</v>
      </c>
      <c r="AC75" s="164" t="s">
        <v>987</v>
      </c>
      <c r="AD75" s="162" t="s">
        <v>988</v>
      </c>
      <c r="AE75" s="36" t="s">
        <v>53</v>
      </c>
      <c r="AG75" s="36" t="s">
        <v>284</v>
      </c>
    </row>
    <row r="76" spans="1:69" s="36" customFormat="1">
      <c r="A76" s="119" t="s">
        <v>989</v>
      </c>
      <c r="B76" s="129" t="s">
        <v>336</v>
      </c>
      <c r="C76" s="129" t="s">
        <v>336</v>
      </c>
      <c r="D76" s="152">
        <v>1000</v>
      </c>
      <c r="E76" s="117" t="s">
        <v>990</v>
      </c>
      <c r="F76" s="48" t="s">
        <v>160</v>
      </c>
      <c r="G76" s="30" t="s">
        <v>37</v>
      </c>
      <c r="H76" s="30" t="s">
        <v>54</v>
      </c>
      <c r="I76" s="289" t="s">
        <v>338</v>
      </c>
      <c r="J76" s="289" t="s">
        <v>2062</v>
      </c>
      <c r="K76" s="289" t="s">
        <v>551</v>
      </c>
      <c r="L76" s="291">
        <v>46007</v>
      </c>
      <c r="M76" s="290" t="s">
        <v>289</v>
      </c>
      <c r="N76" s="277"/>
      <c r="O76" s="129" t="s">
        <v>991</v>
      </c>
      <c r="P76" s="138" t="s">
        <v>992</v>
      </c>
      <c r="Q76" s="247">
        <v>3106663071</v>
      </c>
      <c r="R76" s="129" t="s">
        <v>993</v>
      </c>
      <c r="S76" s="137" t="s">
        <v>994</v>
      </c>
      <c r="T76" s="129">
        <v>6013172970</v>
      </c>
      <c r="U76" s="62"/>
      <c r="V76" s="62"/>
      <c r="W76" s="62"/>
      <c r="X76" s="48"/>
      <c r="Y76" s="48"/>
      <c r="Z76" s="137" t="s">
        <v>992</v>
      </c>
      <c r="AA76" s="129" t="s">
        <v>995</v>
      </c>
      <c r="AB76" s="129">
        <v>6013172970</v>
      </c>
      <c r="AC76" s="129" t="s">
        <v>996</v>
      </c>
      <c r="AD76" s="138" t="s">
        <v>997</v>
      </c>
      <c r="AE76" s="48" t="s">
        <v>53</v>
      </c>
      <c r="AG76" s="36" t="s">
        <v>334</v>
      </c>
    </row>
    <row r="77" spans="1:69" s="48" customFormat="1">
      <c r="A77" s="119" t="s">
        <v>998</v>
      </c>
      <c r="B77" s="128" t="s">
        <v>937</v>
      </c>
      <c r="C77" s="128" t="s">
        <v>937</v>
      </c>
      <c r="D77" s="150">
        <v>2500</v>
      </c>
      <c r="E77" s="125" t="s">
        <v>999</v>
      </c>
      <c r="F77" s="37" t="s">
        <v>1000</v>
      </c>
      <c r="G77" s="30" t="s">
        <v>37</v>
      </c>
      <c r="H77" s="30"/>
      <c r="I77" s="288"/>
      <c r="J77" s="288"/>
      <c r="K77" s="288"/>
      <c r="L77" s="292">
        <v>46007</v>
      </c>
      <c r="M77" s="293" t="s">
        <v>38</v>
      </c>
      <c r="N77" s="284" t="s">
        <v>264</v>
      </c>
      <c r="O77" s="147" t="s">
        <v>1001</v>
      </c>
      <c r="P77" s="148" t="s">
        <v>1002</v>
      </c>
      <c r="Q77" s="248">
        <v>18294971713</v>
      </c>
      <c r="R77" s="147" t="s">
        <v>1003</v>
      </c>
      <c r="S77" s="260" t="s">
        <v>1004</v>
      </c>
      <c r="T77" s="148">
        <v>18098401185</v>
      </c>
      <c r="U77" s="37"/>
      <c r="V77" s="37"/>
      <c r="W77" s="37"/>
      <c r="X77" s="29"/>
      <c r="Y77" s="33"/>
      <c r="Z77" s="137" t="s">
        <v>1002</v>
      </c>
      <c r="AA77" s="145" t="s">
        <v>1005</v>
      </c>
      <c r="AB77" s="137">
        <v>8294971713</v>
      </c>
      <c r="AC77" s="137" t="s">
        <v>1006</v>
      </c>
      <c r="AD77" s="144" t="s">
        <v>1007</v>
      </c>
      <c r="AE77" s="36" t="s">
        <v>53</v>
      </c>
      <c r="AF77" s="36"/>
      <c r="AG77" s="48" t="s">
        <v>531</v>
      </c>
    </row>
    <row r="78" spans="1:69" s="36" customFormat="1" ht="28.8">
      <c r="A78" s="75" t="s">
        <v>1008</v>
      </c>
      <c r="B78" s="38" t="s">
        <v>76</v>
      </c>
      <c r="C78" s="38"/>
      <c r="D78" s="150">
        <v>1000</v>
      </c>
      <c r="E78" s="109" t="s">
        <v>160</v>
      </c>
      <c r="F78" s="30" t="s">
        <v>160</v>
      </c>
      <c r="G78" s="30" t="s">
        <v>37</v>
      </c>
      <c r="H78" s="30"/>
      <c r="I78" s="289"/>
      <c r="J78" s="289"/>
      <c r="K78" s="289"/>
      <c r="L78" s="291">
        <v>46007</v>
      </c>
      <c r="M78" s="290" t="s">
        <v>38</v>
      </c>
      <c r="N78" s="277" t="s">
        <v>1009</v>
      </c>
      <c r="O78" s="38" t="s">
        <v>1010</v>
      </c>
      <c r="P78" s="33" t="s">
        <v>1011</v>
      </c>
      <c r="Q78" s="245"/>
      <c r="R78" s="37"/>
      <c r="S78" s="37"/>
      <c r="T78" s="37"/>
      <c r="U78" s="37"/>
      <c r="V78" s="37"/>
      <c r="W78" s="37"/>
      <c r="X78" s="29"/>
      <c r="Y78" s="33"/>
      <c r="Z78" s="30"/>
      <c r="AA78" s="55" t="s">
        <v>1012</v>
      </c>
      <c r="AB78" s="36">
        <v>998435900</v>
      </c>
      <c r="AD78" s="36" t="s">
        <v>1013</v>
      </c>
      <c r="AE78" s="36" t="s">
        <v>53</v>
      </c>
      <c r="AG78" s="36" t="s">
        <v>571</v>
      </c>
    </row>
    <row r="79" spans="1:69" s="36" customFormat="1">
      <c r="A79" s="107" t="s">
        <v>1014</v>
      </c>
      <c r="B79" s="57" t="s">
        <v>436</v>
      </c>
      <c r="C79" s="57"/>
      <c r="D79" s="151">
        <v>2500</v>
      </c>
      <c r="E79" s="110" t="s">
        <v>1015</v>
      </c>
      <c r="F79" s="37" t="s">
        <v>1016</v>
      </c>
      <c r="G79" s="30" t="s">
        <v>37</v>
      </c>
      <c r="H79" s="30"/>
      <c r="I79" s="289" t="s">
        <v>60</v>
      </c>
      <c r="J79" s="289" t="s">
        <v>1017</v>
      </c>
      <c r="K79" s="289"/>
      <c r="L79" s="291">
        <v>46007</v>
      </c>
      <c r="M79" s="290"/>
      <c r="N79" s="276" t="s">
        <v>1018</v>
      </c>
      <c r="O79" s="57" t="s">
        <v>1019</v>
      </c>
      <c r="P79" s="51" t="s">
        <v>1020</v>
      </c>
      <c r="Q79" s="242"/>
      <c r="R79" s="57"/>
      <c r="S79" s="51"/>
      <c r="T79" s="51"/>
      <c r="U79" s="57"/>
      <c r="V79" s="51"/>
      <c r="W79" s="51"/>
      <c r="X79" s="42"/>
      <c r="Y79" s="52"/>
      <c r="Z79" s="45" t="s">
        <v>1021</v>
      </c>
      <c r="AA79" s="54" t="s">
        <v>1022</v>
      </c>
      <c r="AB79" s="48" t="s">
        <v>1023</v>
      </c>
      <c r="AC79" s="48" t="s">
        <v>1024</v>
      </c>
      <c r="AD79" s="59" t="s">
        <v>1025</v>
      </c>
      <c r="AE79" s="48"/>
      <c r="AF79" s="48"/>
      <c r="AH79" s="180" t="s">
        <v>1026</v>
      </c>
      <c r="AI79" s="36" t="s">
        <v>1027</v>
      </c>
    </row>
    <row r="80" spans="1:69" s="36" customFormat="1">
      <c r="A80" s="75" t="s">
        <v>1028</v>
      </c>
      <c r="B80" s="38" t="s">
        <v>76</v>
      </c>
      <c r="C80" s="38"/>
      <c r="D80" s="150">
        <v>2000</v>
      </c>
      <c r="E80" s="109" t="s">
        <v>1029</v>
      </c>
      <c r="F80" s="30" t="s">
        <v>1030</v>
      </c>
      <c r="G80" s="30" t="s">
        <v>37</v>
      </c>
      <c r="H80" s="30" t="s">
        <v>54</v>
      </c>
      <c r="I80" s="289" t="s">
        <v>60</v>
      </c>
      <c r="J80" s="289" t="s">
        <v>1031</v>
      </c>
      <c r="K80" s="289" t="s">
        <v>949</v>
      </c>
      <c r="L80" s="291">
        <v>46006</v>
      </c>
      <c r="M80" s="290" t="s">
        <v>289</v>
      </c>
      <c r="N80" s="277"/>
      <c r="O80" s="38" t="s">
        <v>1032</v>
      </c>
      <c r="P80" s="33" t="s">
        <v>1033</v>
      </c>
      <c r="Q80" s="245"/>
      <c r="R80" s="37"/>
      <c r="S80" s="37"/>
      <c r="T80" s="37"/>
      <c r="U80" s="37"/>
      <c r="V80" s="37"/>
      <c r="W80" s="37"/>
      <c r="X80" s="29"/>
      <c r="Y80" s="33"/>
      <c r="Z80" s="262" t="s">
        <v>1034</v>
      </c>
      <c r="AA80" s="55" t="s">
        <v>1035</v>
      </c>
      <c r="AB80" s="36" t="s">
        <v>1036</v>
      </c>
      <c r="AC80" s="64" t="s">
        <v>1037</v>
      </c>
      <c r="AD80" s="36" t="s">
        <v>1038</v>
      </c>
      <c r="AE80" s="36" t="s">
        <v>53</v>
      </c>
      <c r="AG80" s="36" t="s">
        <v>1039</v>
      </c>
      <c r="AH80" s="180" t="s">
        <v>1040</v>
      </c>
      <c r="AI80" s="36" t="s">
        <v>1041</v>
      </c>
    </row>
    <row r="81" spans="1:69" s="36" customFormat="1">
      <c r="A81" s="103" t="s">
        <v>1042</v>
      </c>
      <c r="B81" s="30" t="s">
        <v>349</v>
      </c>
      <c r="C81" s="30"/>
      <c r="D81" s="154">
        <v>2000</v>
      </c>
      <c r="E81" s="111" t="s">
        <v>1043</v>
      </c>
      <c r="F81" s="62" t="s">
        <v>1044</v>
      </c>
      <c r="G81" s="30" t="s">
        <v>37</v>
      </c>
      <c r="H81" s="30"/>
      <c r="I81" s="289" t="s">
        <v>60</v>
      </c>
      <c r="J81" s="289" t="s">
        <v>1045</v>
      </c>
      <c r="K81" s="289"/>
      <c r="L81" s="291">
        <v>46006</v>
      </c>
      <c r="M81" s="290" t="s">
        <v>289</v>
      </c>
      <c r="N81" s="277"/>
      <c r="O81" s="76" t="s">
        <v>1046</v>
      </c>
      <c r="P81" s="32" t="s">
        <v>1047</v>
      </c>
      <c r="Q81" s="249"/>
      <c r="R81" s="30"/>
      <c r="S81" s="63"/>
      <c r="T81" s="63"/>
      <c r="U81" s="48"/>
      <c r="V81" s="48"/>
      <c r="W81" s="48"/>
      <c r="X81" s="48"/>
      <c r="Y81" s="48"/>
      <c r="Z81" s="48"/>
      <c r="AA81" s="59" t="s">
        <v>1048</v>
      </c>
      <c r="AB81" s="48" t="s">
        <v>1049</v>
      </c>
      <c r="AC81" s="48" t="s">
        <v>1050</v>
      </c>
      <c r="AD81" s="48" t="s">
        <v>1051</v>
      </c>
      <c r="AE81" s="48"/>
      <c r="AF81" s="36" t="s">
        <v>54</v>
      </c>
      <c r="AG81" s="36" t="s">
        <v>571</v>
      </c>
      <c r="AH81" s="180" t="s">
        <v>1052</v>
      </c>
      <c r="AI81" s="36" t="s">
        <v>1053</v>
      </c>
    </row>
    <row r="82" spans="1:69" s="48" customFormat="1">
      <c r="A82" s="119" t="s">
        <v>1054</v>
      </c>
      <c r="B82" s="128" t="s">
        <v>336</v>
      </c>
      <c r="C82" s="128" t="s">
        <v>336</v>
      </c>
      <c r="D82" s="150">
        <v>1000</v>
      </c>
      <c r="E82" s="141" t="s">
        <v>756</v>
      </c>
      <c r="F82" s="30" t="s">
        <v>160</v>
      </c>
      <c r="G82" s="30" t="s">
        <v>37</v>
      </c>
      <c r="H82" s="30"/>
      <c r="I82" s="289" t="s">
        <v>60</v>
      </c>
      <c r="J82" s="289" t="s">
        <v>1055</v>
      </c>
      <c r="K82" s="289" t="s">
        <v>1056</v>
      </c>
      <c r="L82" s="291">
        <v>46007</v>
      </c>
      <c r="M82" s="290" t="s">
        <v>38</v>
      </c>
      <c r="N82" s="277" t="s">
        <v>1057</v>
      </c>
      <c r="O82" s="133" t="s">
        <v>1058</v>
      </c>
      <c r="P82" s="135" t="s">
        <v>1059</v>
      </c>
      <c r="Q82" s="248" t="s">
        <v>1060</v>
      </c>
      <c r="R82" s="128" t="s">
        <v>1061</v>
      </c>
      <c r="S82" s="137" t="s">
        <v>1062</v>
      </c>
      <c r="T82" s="131" t="s">
        <v>1063</v>
      </c>
      <c r="U82" s="127" t="s">
        <v>1064</v>
      </c>
      <c r="V82" s="131" t="s">
        <v>1065</v>
      </c>
      <c r="W82" s="131" t="s">
        <v>1066</v>
      </c>
      <c r="X82" s="29"/>
      <c r="Y82" s="33"/>
      <c r="Z82" s="137" t="s">
        <v>1059</v>
      </c>
      <c r="AA82" s="120" t="s">
        <v>1067</v>
      </c>
      <c r="AB82" s="129" t="s">
        <v>1068</v>
      </c>
      <c r="AC82" s="139" t="s">
        <v>1069</v>
      </c>
      <c r="AD82" s="136" t="s">
        <v>1070</v>
      </c>
      <c r="AE82" s="36" t="s">
        <v>53</v>
      </c>
      <c r="AF82" s="36"/>
      <c r="AG82" s="36" t="s">
        <v>334</v>
      </c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  <c r="BK82" s="36"/>
      <c r="BL82" s="36"/>
      <c r="BM82" s="36"/>
      <c r="BN82" s="36"/>
      <c r="BO82" s="36"/>
      <c r="BP82" s="36"/>
      <c r="BQ82" s="36"/>
    </row>
    <row r="83" spans="1:69" s="48" customFormat="1">
      <c r="A83" s="119" t="s">
        <v>1071</v>
      </c>
      <c r="B83" s="38" t="s">
        <v>157</v>
      </c>
      <c r="C83" s="38"/>
      <c r="D83" s="150">
        <v>2500</v>
      </c>
      <c r="E83" s="109" t="s">
        <v>160</v>
      </c>
      <c r="F83" s="30" t="s">
        <v>89</v>
      </c>
      <c r="G83" s="30" t="s">
        <v>90</v>
      </c>
      <c r="H83" s="30" t="s">
        <v>54</v>
      </c>
      <c r="I83" s="289" t="s">
        <v>60</v>
      </c>
      <c r="J83" s="288" t="s">
        <v>1072</v>
      </c>
      <c r="K83" s="288" t="s">
        <v>1073</v>
      </c>
      <c r="L83" s="293" t="s">
        <v>1074</v>
      </c>
      <c r="M83" s="293" t="s">
        <v>1075</v>
      </c>
      <c r="N83" s="281"/>
      <c r="O83" s="128" t="s">
        <v>1072</v>
      </c>
      <c r="P83" s="135" t="s">
        <v>1076</v>
      </c>
      <c r="Q83" s="221" t="s">
        <v>1077</v>
      </c>
      <c r="R83" s="37"/>
      <c r="S83" s="37"/>
      <c r="T83" s="195"/>
      <c r="U83" s="37"/>
      <c r="V83" s="37"/>
      <c r="W83" s="195"/>
      <c r="X83" s="29"/>
      <c r="Y83" s="33"/>
      <c r="Z83" s="30"/>
      <c r="AA83" s="55" t="s">
        <v>1078</v>
      </c>
      <c r="AB83" s="36" t="s">
        <v>1079</v>
      </c>
      <c r="AC83" s="36" t="s">
        <v>1080</v>
      </c>
      <c r="AD83" s="36" t="s">
        <v>1081</v>
      </c>
      <c r="AE83" s="36" t="s">
        <v>53</v>
      </c>
      <c r="AF83" s="36"/>
      <c r="AG83" s="48" t="s">
        <v>1082</v>
      </c>
    </row>
    <row r="84" spans="1:69" s="48" customFormat="1">
      <c r="A84" s="75" t="s">
        <v>1083</v>
      </c>
      <c r="B84" s="38" t="s">
        <v>157</v>
      </c>
      <c r="C84" s="38"/>
      <c r="D84" s="150">
        <v>1500</v>
      </c>
      <c r="E84" s="109" t="s">
        <v>89</v>
      </c>
      <c r="F84" s="30" t="s">
        <v>89</v>
      </c>
      <c r="G84" s="30" t="s">
        <v>90</v>
      </c>
      <c r="H84" s="30"/>
      <c r="I84" s="288"/>
      <c r="J84" s="288"/>
      <c r="K84" s="288"/>
      <c r="L84" s="292">
        <v>46007</v>
      </c>
      <c r="M84" s="293"/>
      <c r="N84" s="281" t="s">
        <v>1084</v>
      </c>
      <c r="O84" s="38" t="s">
        <v>1085</v>
      </c>
      <c r="P84" s="31" t="s">
        <v>1086</v>
      </c>
      <c r="Q84" s="217"/>
      <c r="R84" s="38"/>
      <c r="S84" s="33"/>
      <c r="T84" s="196"/>
      <c r="U84" s="30"/>
      <c r="V84" s="30"/>
      <c r="W84" s="199"/>
      <c r="X84" s="29"/>
      <c r="Y84" s="33"/>
      <c r="Z84" s="30"/>
      <c r="AA84" s="55" t="s">
        <v>1087</v>
      </c>
      <c r="AB84" s="36" t="s">
        <v>1088</v>
      </c>
      <c r="AC84" s="36"/>
      <c r="AD84" s="36" t="s">
        <v>1089</v>
      </c>
      <c r="AE84" s="36"/>
      <c r="AF84" s="36"/>
      <c r="AG84" s="48" t="s">
        <v>271</v>
      </c>
    </row>
    <row r="85" spans="1:69" s="36" customFormat="1">
      <c r="A85" s="75" t="s">
        <v>1090</v>
      </c>
      <c r="B85" s="38" t="s">
        <v>937</v>
      </c>
      <c r="C85" s="38"/>
      <c r="D85" s="150">
        <v>1500</v>
      </c>
      <c r="E85" s="109" t="s">
        <v>89</v>
      </c>
      <c r="F85" s="30" t="s">
        <v>89</v>
      </c>
      <c r="G85" s="30" t="s">
        <v>90</v>
      </c>
      <c r="H85" s="30"/>
      <c r="I85" s="288" t="s">
        <v>338</v>
      </c>
      <c r="J85" s="288" t="s">
        <v>1091</v>
      </c>
      <c r="K85" s="288" t="s">
        <v>1092</v>
      </c>
      <c r="L85" s="292">
        <v>46008</v>
      </c>
      <c r="M85" s="293" t="s">
        <v>289</v>
      </c>
      <c r="N85" s="281" t="s">
        <v>264</v>
      </c>
      <c r="O85" s="38" t="s">
        <v>1091</v>
      </c>
      <c r="P85" s="33" t="s">
        <v>1093</v>
      </c>
      <c r="Q85" s="221" t="s">
        <v>1094</v>
      </c>
      <c r="R85" s="37"/>
      <c r="S85" s="37"/>
      <c r="T85" s="195"/>
      <c r="U85" s="37"/>
      <c r="V85" s="37"/>
      <c r="W85" s="195"/>
      <c r="X85" s="29"/>
      <c r="Y85" s="33"/>
      <c r="Z85" s="30"/>
      <c r="AA85" s="55" t="s">
        <v>1095</v>
      </c>
      <c r="AB85" s="36" t="s">
        <v>1096</v>
      </c>
      <c r="AD85" s="36" t="s">
        <v>1097</v>
      </c>
      <c r="AF85" s="48"/>
      <c r="AG85" s="48"/>
      <c r="AH85" s="180" t="s">
        <v>1098</v>
      </c>
      <c r="AI85" s="48" t="s">
        <v>1099</v>
      </c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48"/>
      <c r="BK85" s="48"/>
      <c r="BL85" s="48"/>
      <c r="BM85" s="48"/>
      <c r="BN85" s="48"/>
      <c r="BO85" s="48"/>
      <c r="BP85" s="48"/>
      <c r="BQ85" s="48"/>
    </row>
    <row r="86" spans="1:69" s="36" customFormat="1">
      <c r="A86" s="119" t="s">
        <v>1100</v>
      </c>
      <c r="B86" s="128" t="s">
        <v>336</v>
      </c>
      <c r="C86" s="128" t="s">
        <v>336</v>
      </c>
      <c r="D86" s="150">
        <v>2500</v>
      </c>
      <c r="E86" s="125" t="s">
        <v>89</v>
      </c>
      <c r="F86" s="30" t="s">
        <v>89</v>
      </c>
      <c r="G86" s="30" t="s">
        <v>90</v>
      </c>
      <c r="H86" s="30"/>
      <c r="I86" s="289" t="s">
        <v>1101</v>
      </c>
      <c r="J86" s="289" t="s">
        <v>1102</v>
      </c>
      <c r="K86" s="289"/>
      <c r="L86" s="291">
        <v>46007</v>
      </c>
      <c r="M86" s="290" t="s">
        <v>38</v>
      </c>
      <c r="N86" s="277" t="s">
        <v>1103</v>
      </c>
      <c r="O86" s="128" t="s">
        <v>1104</v>
      </c>
      <c r="P86" s="130" t="s">
        <v>1105</v>
      </c>
      <c r="Q86" s="304">
        <v>3208550199</v>
      </c>
      <c r="R86" s="307" t="s">
        <v>1106</v>
      </c>
      <c r="S86" s="308" t="s">
        <v>1107</v>
      </c>
      <c r="T86" s="309">
        <v>3103411368</v>
      </c>
      <c r="U86" s="127" t="s">
        <v>1108</v>
      </c>
      <c r="V86" s="138" t="s">
        <v>1109</v>
      </c>
      <c r="W86" s="304">
        <v>3133062759</v>
      </c>
      <c r="X86" s="29"/>
      <c r="Y86" s="33"/>
      <c r="Z86" s="304" t="s">
        <v>1105</v>
      </c>
      <c r="AA86" s="120" t="s">
        <v>1110</v>
      </c>
      <c r="AB86" s="129" t="s">
        <v>1111</v>
      </c>
      <c r="AC86" s="129" t="s">
        <v>1112</v>
      </c>
      <c r="AD86" s="138" t="s">
        <v>1113</v>
      </c>
      <c r="AE86" s="36" t="s">
        <v>53</v>
      </c>
      <c r="AF86" s="48"/>
      <c r="AG86" s="36" t="s">
        <v>1114</v>
      </c>
      <c r="AH86" s="180" t="s">
        <v>1115</v>
      </c>
      <c r="AI86" s="36" t="s">
        <v>741</v>
      </c>
    </row>
    <row r="87" spans="1:69" s="36" customFormat="1">
      <c r="A87" s="75" t="s">
        <v>1116</v>
      </c>
      <c r="B87" s="38" t="s">
        <v>108</v>
      </c>
      <c r="C87" s="38"/>
      <c r="D87" s="150">
        <v>2500</v>
      </c>
      <c r="E87" s="109" t="s">
        <v>89</v>
      </c>
      <c r="F87" s="30" t="s">
        <v>89</v>
      </c>
      <c r="G87" s="30" t="s">
        <v>90</v>
      </c>
      <c r="H87" s="30" t="s">
        <v>54</v>
      </c>
      <c r="I87" s="289"/>
      <c r="J87" s="289"/>
      <c r="K87" s="289"/>
      <c r="L87" s="291">
        <v>46007</v>
      </c>
      <c r="M87" s="290" t="s">
        <v>38</v>
      </c>
      <c r="N87" s="276" t="s">
        <v>1117</v>
      </c>
      <c r="O87" s="38" t="s">
        <v>1118</v>
      </c>
      <c r="P87" s="31" t="s">
        <v>1119</v>
      </c>
      <c r="Q87" s="217" t="s">
        <v>1120</v>
      </c>
      <c r="R87" s="37"/>
      <c r="S87" s="37"/>
      <c r="T87" s="195"/>
      <c r="U87" s="37"/>
      <c r="V87" s="37"/>
      <c r="W87" s="195"/>
      <c r="X87" s="29"/>
      <c r="Y87" s="33"/>
      <c r="Z87" s="185" t="s">
        <v>1121</v>
      </c>
      <c r="AA87" s="50" t="s">
        <v>1122</v>
      </c>
      <c r="AB87" s="36" t="s">
        <v>1123</v>
      </c>
      <c r="AC87" s="36">
        <v>990035113001</v>
      </c>
      <c r="AD87" s="36" t="s">
        <v>1124</v>
      </c>
      <c r="AF87" s="48"/>
      <c r="AG87" s="36" t="s">
        <v>1125</v>
      </c>
      <c r="AH87" s="180" t="s">
        <v>1126</v>
      </c>
      <c r="AI87" s="36" t="s">
        <v>1127</v>
      </c>
    </row>
    <row r="88" spans="1:69" s="36" customFormat="1" ht="72">
      <c r="A88" s="75" t="s">
        <v>1128</v>
      </c>
      <c r="B88" s="38" t="s">
        <v>88</v>
      </c>
      <c r="C88" s="38"/>
      <c r="D88" s="150">
        <v>5000</v>
      </c>
      <c r="E88" s="109" t="s">
        <v>89</v>
      </c>
      <c r="F88" s="30" t="s">
        <v>89</v>
      </c>
      <c r="G88" s="30" t="s">
        <v>90</v>
      </c>
      <c r="H88" s="30" t="s">
        <v>54</v>
      </c>
      <c r="I88" s="289" t="s">
        <v>60</v>
      </c>
      <c r="J88" s="289" t="s">
        <v>1129</v>
      </c>
      <c r="K88" s="289"/>
      <c r="L88" s="291">
        <v>46006</v>
      </c>
      <c r="M88" s="290" t="s">
        <v>289</v>
      </c>
      <c r="N88" s="277"/>
      <c r="O88" s="38" t="s">
        <v>1129</v>
      </c>
      <c r="P88" s="33" t="s">
        <v>1130</v>
      </c>
      <c r="Q88" s="221" t="s">
        <v>1131</v>
      </c>
      <c r="R88" s="37"/>
      <c r="S88" s="37"/>
      <c r="T88" s="195"/>
      <c r="U88" s="37"/>
      <c r="V88" s="37"/>
      <c r="W88" s="195"/>
      <c r="X88" s="29"/>
      <c r="Y88" s="33"/>
      <c r="Z88" s="30"/>
      <c r="AA88" s="55" t="s">
        <v>1132</v>
      </c>
      <c r="AB88" s="36" t="s">
        <v>1133</v>
      </c>
      <c r="AD88" s="36" t="s">
        <v>1134</v>
      </c>
      <c r="AG88" s="36" t="s">
        <v>1125</v>
      </c>
      <c r="AH88" s="180" t="s">
        <v>1135</v>
      </c>
      <c r="AI88" s="36" t="s">
        <v>1136</v>
      </c>
    </row>
    <row r="89" spans="1:69" s="36" customFormat="1" ht="20.399999999999999">
      <c r="A89" s="168" t="s">
        <v>1137</v>
      </c>
      <c r="B89" s="161" t="s">
        <v>76</v>
      </c>
      <c r="C89" s="161" t="s">
        <v>76</v>
      </c>
      <c r="D89" s="150">
        <v>2500</v>
      </c>
      <c r="E89" s="165" t="s">
        <v>1138</v>
      </c>
      <c r="F89" s="30" t="s">
        <v>212</v>
      </c>
      <c r="G89" s="30" t="s">
        <v>37</v>
      </c>
      <c r="H89" s="30"/>
      <c r="I89" s="289" t="s">
        <v>60</v>
      </c>
      <c r="J89" s="289" t="s">
        <v>1139</v>
      </c>
      <c r="K89" s="289"/>
      <c r="L89" s="291">
        <v>46007</v>
      </c>
      <c r="M89" s="290" t="s">
        <v>38</v>
      </c>
      <c r="N89" s="276" t="s">
        <v>1140</v>
      </c>
      <c r="O89" s="161" t="s">
        <v>1139</v>
      </c>
      <c r="P89" s="169" t="s">
        <v>1141</v>
      </c>
      <c r="Q89" s="250">
        <v>51986834212</v>
      </c>
      <c r="R89" s="163" t="s">
        <v>1142</v>
      </c>
      <c r="S89" s="163" t="s">
        <v>1143</v>
      </c>
      <c r="T89" s="170">
        <v>51945907326</v>
      </c>
      <c r="U89" s="29"/>
      <c r="V89" s="33"/>
      <c r="W89" s="33"/>
      <c r="X89" s="29"/>
      <c r="Y89" s="58"/>
      <c r="Z89" s="163" t="s">
        <v>1141</v>
      </c>
      <c r="AA89" s="269" t="s">
        <v>1144</v>
      </c>
      <c r="AB89" s="164" t="s">
        <v>1145</v>
      </c>
      <c r="AC89" s="164">
        <v>20605474013</v>
      </c>
      <c r="AD89" s="162" t="s">
        <v>1146</v>
      </c>
      <c r="AE89" s="36" t="s">
        <v>53</v>
      </c>
      <c r="AG89" s="36" t="s">
        <v>284</v>
      </c>
    </row>
    <row r="90" spans="1:69" s="36" customFormat="1">
      <c r="A90" s="119" t="s">
        <v>1147</v>
      </c>
      <c r="B90" s="127" t="s">
        <v>349</v>
      </c>
      <c r="C90" s="145" t="s">
        <v>1148</v>
      </c>
      <c r="D90" s="150">
        <v>2000</v>
      </c>
      <c r="E90" s="146" t="s">
        <v>1149</v>
      </c>
      <c r="F90" s="30" t="s">
        <v>212</v>
      </c>
      <c r="G90" s="30" t="s">
        <v>37</v>
      </c>
      <c r="H90" s="30"/>
      <c r="I90" s="289" t="s">
        <v>60</v>
      </c>
      <c r="J90" s="289" t="s">
        <v>1150</v>
      </c>
      <c r="K90" s="289"/>
      <c r="L90" s="291">
        <v>46007</v>
      </c>
      <c r="M90" s="290" t="s">
        <v>38</v>
      </c>
      <c r="N90" s="276" t="s">
        <v>1151</v>
      </c>
      <c r="O90" s="128" t="s">
        <v>1152</v>
      </c>
      <c r="P90" s="137" t="s">
        <v>1153</v>
      </c>
      <c r="Q90" s="247" t="s">
        <v>1154</v>
      </c>
      <c r="R90" s="126"/>
      <c r="S90" s="137"/>
      <c r="T90" s="137"/>
      <c r="U90" s="37"/>
      <c r="V90" s="37"/>
      <c r="W90" s="37"/>
      <c r="X90" s="29"/>
      <c r="Y90" s="33"/>
      <c r="Z90" s="137" t="s">
        <v>1153</v>
      </c>
      <c r="AA90" s="120" t="s">
        <v>1155</v>
      </c>
      <c r="AB90" s="129" t="s">
        <v>1156</v>
      </c>
      <c r="AC90" s="137" t="s">
        <v>1157</v>
      </c>
      <c r="AD90" s="136" t="s">
        <v>1158</v>
      </c>
      <c r="AE90" s="36" t="s">
        <v>53</v>
      </c>
      <c r="AG90" s="36" t="s">
        <v>284</v>
      </c>
    </row>
    <row r="91" spans="1:69" s="36" customFormat="1">
      <c r="A91" s="119" t="s">
        <v>1159</v>
      </c>
      <c r="B91" s="127" t="s">
        <v>349</v>
      </c>
      <c r="C91" s="145" t="s">
        <v>1160</v>
      </c>
      <c r="D91" s="150">
        <v>2000</v>
      </c>
      <c r="E91" s="125" t="s">
        <v>1161</v>
      </c>
      <c r="F91" s="37" t="s">
        <v>59</v>
      </c>
      <c r="G91" s="30" t="s">
        <v>37</v>
      </c>
      <c r="H91" s="30"/>
      <c r="I91" s="289"/>
      <c r="J91" s="289"/>
      <c r="K91" s="289"/>
      <c r="L91" s="290"/>
      <c r="M91" s="290" t="s">
        <v>1075</v>
      </c>
      <c r="N91" s="277"/>
      <c r="O91" s="128" t="s">
        <v>1162</v>
      </c>
      <c r="P91" s="130" t="s">
        <v>1163</v>
      </c>
      <c r="Q91" s="240" t="s">
        <v>1164</v>
      </c>
      <c r="R91" s="255" t="s">
        <v>1165</v>
      </c>
      <c r="S91" s="256" t="s">
        <v>1166</v>
      </c>
      <c r="T91" s="258" t="s">
        <v>1167</v>
      </c>
      <c r="U91" s="255" t="s">
        <v>1168</v>
      </c>
      <c r="V91" s="256" t="s">
        <v>1169</v>
      </c>
      <c r="W91" s="258" t="s">
        <v>1170</v>
      </c>
      <c r="X91" s="29"/>
      <c r="Y91" s="33"/>
      <c r="Z91" s="137" t="s">
        <v>1171</v>
      </c>
      <c r="AA91" s="120" t="s">
        <v>1172</v>
      </c>
      <c r="AB91" s="129" t="s">
        <v>1173</v>
      </c>
      <c r="AC91" s="129" t="s">
        <v>1174</v>
      </c>
      <c r="AD91" s="136" t="s">
        <v>1175</v>
      </c>
      <c r="AE91" s="36" t="s">
        <v>53</v>
      </c>
      <c r="AG91" s="64" t="s">
        <v>1176</v>
      </c>
      <c r="AH91" s="263" t="s">
        <v>1177</v>
      </c>
      <c r="AI91" s="36" t="s">
        <v>1178</v>
      </c>
    </row>
    <row r="92" spans="1:69" s="36" customFormat="1">
      <c r="A92" s="103" t="s">
        <v>1179</v>
      </c>
      <c r="B92" s="48" t="s">
        <v>130</v>
      </c>
      <c r="C92" s="48"/>
      <c r="D92" s="152">
        <v>1700</v>
      </c>
      <c r="E92" s="111" t="s">
        <v>160</v>
      </c>
      <c r="F92" s="48" t="s">
        <v>160</v>
      </c>
      <c r="G92" s="30" t="s">
        <v>37</v>
      </c>
      <c r="H92" s="321"/>
      <c r="I92" s="294"/>
      <c r="J92" s="289" t="s">
        <v>1180</v>
      </c>
      <c r="K92" s="289"/>
      <c r="L92" s="291">
        <v>46007</v>
      </c>
      <c r="M92" s="290" t="s">
        <v>38</v>
      </c>
      <c r="N92" s="276" t="s">
        <v>1181</v>
      </c>
      <c r="O92" s="48" t="s">
        <v>1182</v>
      </c>
      <c r="P92" s="40" t="s">
        <v>1183</v>
      </c>
      <c r="Q92" s="241"/>
      <c r="R92" s="48"/>
      <c r="S92" s="40"/>
      <c r="T92" s="40"/>
      <c r="U92" s="48" t="s">
        <v>1184</v>
      </c>
      <c r="V92" s="40" t="s">
        <v>1183</v>
      </c>
      <c r="W92" s="40">
        <v>551338776909</v>
      </c>
      <c r="X92" s="48"/>
      <c r="Y92" s="40"/>
      <c r="Z92" s="48"/>
      <c r="AA92" s="59" t="s">
        <v>1185</v>
      </c>
      <c r="AB92" s="48" t="s">
        <v>1186</v>
      </c>
      <c r="AC92" s="48"/>
      <c r="AD92" s="48" t="s">
        <v>1187</v>
      </c>
      <c r="AE92" s="48"/>
      <c r="AG92" s="36" t="s">
        <v>1188</v>
      </c>
      <c r="AH92" s="180" t="s">
        <v>1189</v>
      </c>
      <c r="AI92" s="36" t="s">
        <v>1190</v>
      </c>
    </row>
    <row r="93" spans="1:69" s="48" customFormat="1">
      <c r="A93" s="119" t="s">
        <v>1191</v>
      </c>
      <c r="B93" s="128" t="s">
        <v>436</v>
      </c>
      <c r="C93" s="128" t="s">
        <v>1192</v>
      </c>
      <c r="D93" s="151">
        <v>2000</v>
      </c>
      <c r="E93" s="110" t="s">
        <v>756</v>
      </c>
      <c r="F93" s="43" t="s">
        <v>160</v>
      </c>
      <c r="G93" s="30" t="s">
        <v>37</v>
      </c>
      <c r="H93" s="30" t="s">
        <v>54</v>
      </c>
      <c r="I93" s="288"/>
      <c r="J93" s="288"/>
      <c r="K93" s="288"/>
      <c r="L93" s="292">
        <v>46007</v>
      </c>
      <c r="M93" s="293" t="s">
        <v>38</v>
      </c>
      <c r="N93" s="280" t="s">
        <v>1193</v>
      </c>
      <c r="O93" s="128" t="s">
        <v>1194</v>
      </c>
      <c r="P93" s="135" t="s">
        <v>1195</v>
      </c>
      <c r="Q93" s="248">
        <v>34620837383</v>
      </c>
      <c r="R93" s="126" t="s">
        <v>1196</v>
      </c>
      <c r="S93" s="124" t="s">
        <v>1197</v>
      </c>
      <c r="T93" s="126" t="s">
        <v>1198</v>
      </c>
      <c r="U93" s="37"/>
      <c r="V93" s="37"/>
      <c r="W93" s="37"/>
      <c r="X93" s="42"/>
      <c r="Y93" s="52"/>
      <c r="Z93" s="124" t="s">
        <v>1195</v>
      </c>
      <c r="AA93" s="134" t="s">
        <v>1199</v>
      </c>
      <c r="AB93" s="129" t="s">
        <v>1200</v>
      </c>
      <c r="AC93" s="129" t="s">
        <v>1201</v>
      </c>
      <c r="AD93" s="138" t="s">
        <v>1202</v>
      </c>
      <c r="AE93" s="48" t="s">
        <v>53</v>
      </c>
      <c r="AF93" s="36"/>
      <c r="AG93" s="48" t="s">
        <v>334</v>
      </c>
    </row>
    <row r="94" spans="1:69" s="36" customFormat="1">
      <c r="A94" s="77" t="s">
        <v>1203</v>
      </c>
      <c r="B94" s="57" t="s">
        <v>263</v>
      </c>
      <c r="C94" s="57"/>
      <c r="D94" s="151">
        <v>2500</v>
      </c>
      <c r="E94" s="110" t="s">
        <v>212</v>
      </c>
      <c r="F94" s="43" t="s">
        <v>212</v>
      </c>
      <c r="G94" s="30" t="s">
        <v>37</v>
      </c>
      <c r="H94" s="30"/>
      <c r="I94" s="288"/>
      <c r="J94" s="288"/>
      <c r="K94" s="288"/>
      <c r="L94" s="292">
        <v>46007</v>
      </c>
      <c r="M94" s="293" t="s">
        <v>38</v>
      </c>
      <c r="N94" s="280" t="s">
        <v>1204</v>
      </c>
      <c r="O94" s="57" t="s">
        <v>1205</v>
      </c>
      <c r="P94" s="52" t="s">
        <v>1206</v>
      </c>
      <c r="Q94" s="246"/>
      <c r="R94" s="37"/>
      <c r="S94" s="37"/>
      <c r="T94" s="37"/>
      <c r="U94" s="37"/>
      <c r="V94" s="37"/>
      <c r="W94" s="37"/>
      <c r="X94" s="42"/>
      <c r="Y94" s="52"/>
      <c r="Z94" s="43"/>
      <c r="AA94" s="53" t="s">
        <v>1207</v>
      </c>
      <c r="AB94" s="48" t="s">
        <v>1208</v>
      </c>
      <c r="AC94" s="48"/>
      <c r="AD94" s="48" t="s">
        <v>1209</v>
      </c>
      <c r="AE94" s="48"/>
      <c r="AG94" s="48" t="s">
        <v>1210</v>
      </c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48"/>
      <c r="AW94" s="48"/>
      <c r="AX94" s="48"/>
      <c r="AY94" s="48"/>
      <c r="AZ94" s="48"/>
      <c r="BA94" s="48"/>
      <c r="BB94" s="48"/>
      <c r="BC94" s="48"/>
      <c r="BD94" s="48"/>
      <c r="BE94" s="48"/>
      <c r="BF94" s="48"/>
      <c r="BG94" s="48"/>
      <c r="BH94" s="48"/>
      <c r="BI94" s="48"/>
      <c r="BJ94" s="48"/>
      <c r="BK94" s="48"/>
      <c r="BL94" s="48"/>
      <c r="BM94" s="48"/>
      <c r="BN94" s="48"/>
      <c r="BO94" s="48"/>
      <c r="BP94" s="48"/>
      <c r="BQ94" s="48"/>
    </row>
    <row r="95" spans="1:69" s="36" customFormat="1" ht="28.8">
      <c r="A95" s="119" t="s">
        <v>1211</v>
      </c>
      <c r="B95" s="128" t="s">
        <v>88</v>
      </c>
      <c r="C95" s="133" t="s">
        <v>1212</v>
      </c>
      <c r="D95" s="151">
        <v>5000</v>
      </c>
      <c r="E95" s="146" t="s">
        <v>1213</v>
      </c>
      <c r="F95" s="37" t="s">
        <v>89</v>
      </c>
      <c r="G95" s="43" t="s">
        <v>90</v>
      </c>
      <c r="H95" s="43" t="s">
        <v>54</v>
      </c>
      <c r="I95" s="289" t="s">
        <v>1101</v>
      </c>
      <c r="J95" s="289" t="s">
        <v>1214</v>
      </c>
      <c r="K95" s="289"/>
      <c r="L95" s="291">
        <v>46007</v>
      </c>
      <c r="M95" s="290" t="s">
        <v>38</v>
      </c>
      <c r="N95" s="277" t="s">
        <v>1215</v>
      </c>
      <c r="O95" s="128" t="s">
        <v>1214</v>
      </c>
      <c r="P95" s="135" t="s">
        <v>1216</v>
      </c>
      <c r="Q95" s="218" t="s">
        <v>1217</v>
      </c>
      <c r="R95" s="307" t="s">
        <v>1218</v>
      </c>
      <c r="S95" s="308" t="s">
        <v>1219</v>
      </c>
      <c r="T95" s="309" t="s">
        <v>1220</v>
      </c>
      <c r="U95" s="43"/>
      <c r="V95" s="43"/>
      <c r="W95" s="202"/>
      <c r="X95" s="42"/>
      <c r="Y95" s="52"/>
      <c r="Z95" s="304" t="s">
        <v>1221</v>
      </c>
      <c r="AA95" s="120" t="s">
        <v>1222</v>
      </c>
      <c r="AB95" s="139" t="s">
        <v>1223</v>
      </c>
      <c r="AC95" s="129" t="s">
        <v>1224</v>
      </c>
      <c r="AD95" s="136" t="s">
        <v>1225</v>
      </c>
      <c r="AE95" s="48" t="s">
        <v>53</v>
      </c>
      <c r="AF95" s="48"/>
      <c r="AG95" s="36" t="s">
        <v>1226</v>
      </c>
      <c r="AH95" s="180" t="s">
        <v>1227</v>
      </c>
      <c r="AI95" s="36" t="s">
        <v>1228</v>
      </c>
    </row>
    <row r="96" spans="1:69" s="36" customFormat="1">
      <c r="A96" s="119" t="s">
        <v>1229</v>
      </c>
      <c r="B96" s="128" t="s">
        <v>336</v>
      </c>
      <c r="C96" s="133" t="s">
        <v>1230</v>
      </c>
      <c r="D96" s="150">
        <v>1500</v>
      </c>
      <c r="E96" s="146" t="s">
        <v>1231</v>
      </c>
      <c r="F96" s="37" t="s">
        <v>36</v>
      </c>
      <c r="G96" s="30" t="s">
        <v>37</v>
      </c>
      <c r="H96" s="30"/>
      <c r="I96" s="289"/>
      <c r="J96" s="289" t="s">
        <v>1232</v>
      </c>
      <c r="K96" s="289"/>
      <c r="L96" s="291">
        <v>46007</v>
      </c>
      <c r="M96" s="290" t="s">
        <v>38</v>
      </c>
      <c r="N96" s="276" t="s">
        <v>1233</v>
      </c>
      <c r="O96" s="128" t="s">
        <v>1234</v>
      </c>
      <c r="P96" s="130" t="s">
        <v>1235</v>
      </c>
      <c r="Q96" s="304">
        <v>3012487014</v>
      </c>
      <c r="R96" s="310" t="s">
        <v>1236</v>
      </c>
      <c r="S96" s="311" t="s">
        <v>1237</v>
      </c>
      <c r="T96" s="309">
        <v>3012488314</v>
      </c>
      <c r="U96" s="37"/>
      <c r="V96" s="37"/>
      <c r="W96" s="37"/>
      <c r="X96" s="29"/>
      <c r="Y96" s="33"/>
      <c r="Z96" s="304" t="s">
        <v>1238</v>
      </c>
      <c r="AA96" s="120" t="s">
        <v>1239</v>
      </c>
      <c r="AB96" s="129">
        <v>3012488314</v>
      </c>
      <c r="AC96" s="129">
        <v>900282075</v>
      </c>
      <c r="AD96" s="138" t="s">
        <v>1240</v>
      </c>
      <c r="AE96" s="36" t="s">
        <v>53</v>
      </c>
      <c r="AF96" s="48"/>
      <c r="AG96" s="36" t="s">
        <v>1241</v>
      </c>
      <c r="AH96" s="184" t="s">
        <v>1242</v>
      </c>
      <c r="AI96" s="36" t="s">
        <v>1243</v>
      </c>
    </row>
    <row r="97" spans="1:69" s="36" customFormat="1">
      <c r="A97" s="119" t="s">
        <v>1244</v>
      </c>
      <c r="B97" s="128" t="s">
        <v>436</v>
      </c>
      <c r="C97" s="145" t="s">
        <v>1245</v>
      </c>
      <c r="D97" s="150">
        <v>2500</v>
      </c>
      <c r="E97" s="125" t="s">
        <v>628</v>
      </c>
      <c r="F97" s="37" t="s">
        <v>160</v>
      </c>
      <c r="G97" s="30" t="s">
        <v>37</v>
      </c>
      <c r="H97" s="30"/>
      <c r="I97" s="289"/>
      <c r="J97" s="289"/>
      <c r="K97" s="289"/>
      <c r="L97" s="291">
        <v>46007</v>
      </c>
      <c r="M97" s="290" t="s">
        <v>38</v>
      </c>
      <c r="N97" s="282" t="s">
        <v>1246</v>
      </c>
      <c r="O97" s="147" t="s">
        <v>1247</v>
      </c>
      <c r="P97" s="260" t="s">
        <v>1248</v>
      </c>
      <c r="Q97" s="264">
        <v>34674505962</v>
      </c>
      <c r="R97" s="137" t="s">
        <v>1249</v>
      </c>
      <c r="S97" s="147" t="s">
        <v>1250</v>
      </c>
      <c r="T97" s="258" t="s">
        <v>1251</v>
      </c>
      <c r="U97" s="29"/>
      <c r="V97" s="33"/>
      <c r="W97" s="33"/>
      <c r="X97" s="29"/>
      <c r="Y97" s="33"/>
      <c r="Z97" s="137" t="s">
        <v>1252</v>
      </c>
      <c r="AA97" s="120" t="s">
        <v>1253</v>
      </c>
      <c r="AB97" s="36" t="s">
        <v>1254</v>
      </c>
      <c r="AC97" s="137" t="s">
        <v>1255</v>
      </c>
      <c r="AD97" s="136" t="s">
        <v>1256</v>
      </c>
      <c r="AE97" s="36" t="s">
        <v>53</v>
      </c>
      <c r="AG97" s="36" t="s">
        <v>1257</v>
      </c>
      <c r="AH97" s="180" t="s">
        <v>1258</v>
      </c>
      <c r="AI97" s="36" t="s">
        <v>1041</v>
      </c>
    </row>
    <row r="98" spans="1:69" s="36" customFormat="1">
      <c r="A98" s="75" t="s">
        <v>1259</v>
      </c>
      <c r="B98" s="38" t="s">
        <v>108</v>
      </c>
      <c r="C98" s="38"/>
      <c r="D98" s="150">
        <v>2000</v>
      </c>
      <c r="E98" s="109" t="s">
        <v>36</v>
      </c>
      <c r="F98" s="37" t="s">
        <v>36</v>
      </c>
      <c r="G98" s="30" t="s">
        <v>37</v>
      </c>
      <c r="H98" s="30"/>
      <c r="I98" s="289"/>
      <c r="J98" s="289"/>
      <c r="K98" s="289"/>
      <c r="L98" s="290"/>
      <c r="M98" s="290" t="s">
        <v>161</v>
      </c>
      <c r="N98" s="277"/>
      <c r="O98" s="38" t="s">
        <v>1260</v>
      </c>
      <c r="P98" s="33" t="s">
        <v>1261</v>
      </c>
      <c r="Q98" s="245"/>
      <c r="R98" s="30" t="s">
        <v>1262</v>
      </c>
      <c r="S98" s="32" t="s">
        <v>1263</v>
      </c>
      <c r="T98" s="32"/>
      <c r="U98" s="38" t="s">
        <v>1260</v>
      </c>
      <c r="V98" s="33" t="s">
        <v>1261</v>
      </c>
      <c r="W98" s="33"/>
      <c r="X98" s="30"/>
      <c r="Y98" s="32"/>
      <c r="Z98" s="30"/>
      <c r="AA98" s="55" t="s">
        <v>1264</v>
      </c>
      <c r="AB98" s="36" t="s">
        <v>1265</v>
      </c>
      <c r="AC98" s="65" t="s">
        <v>1266</v>
      </c>
      <c r="AD98" s="36" t="s">
        <v>1267</v>
      </c>
      <c r="AG98" s="36" t="s">
        <v>1268</v>
      </c>
    </row>
    <row r="99" spans="1:69" s="36" customFormat="1">
      <c r="A99" s="75" t="s">
        <v>1269</v>
      </c>
      <c r="B99" s="38" t="s">
        <v>157</v>
      </c>
      <c r="C99" s="38"/>
      <c r="D99" s="150">
        <v>1500</v>
      </c>
      <c r="E99" s="109" t="s">
        <v>1270</v>
      </c>
      <c r="F99" s="37" t="s">
        <v>36</v>
      </c>
      <c r="G99" s="30" t="s">
        <v>37</v>
      </c>
      <c r="H99" s="30" t="s">
        <v>54</v>
      </c>
      <c r="I99" s="289" t="s">
        <v>60</v>
      </c>
      <c r="J99" s="289" t="s">
        <v>1271</v>
      </c>
      <c r="K99" s="289"/>
      <c r="L99" s="290" t="s">
        <v>1074</v>
      </c>
      <c r="M99" s="290" t="s">
        <v>1075</v>
      </c>
      <c r="N99" s="277">
        <v>0</v>
      </c>
      <c r="O99" s="38" t="s">
        <v>1272</v>
      </c>
      <c r="P99" s="31" t="s">
        <v>1273</v>
      </c>
      <c r="Q99" s="239"/>
      <c r="R99" s="38"/>
      <c r="S99" s="31"/>
      <c r="T99" s="31"/>
      <c r="U99" s="30" t="s">
        <v>1271</v>
      </c>
      <c r="V99" s="39" t="s">
        <v>1274</v>
      </c>
      <c r="W99" s="39"/>
      <c r="X99" s="30"/>
      <c r="Y99" s="39"/>
      <c r="Z99" s="30"/>
      <c r="AA99" s="55" t="s">
        <v>1275</v>
      </c>
      <c r="AB99" s="36">
        <v>17866374393</v>
      </c>
      <c r="AC99" s="64" t="s">
        <v>1276</v>
      </c>
      <c r="AD99" s="36" t="s">
        <v>1277</v>
      </c>
      <c r="AG99" s="36" t="s">
        <v>1268</v>
      </c>
    </row>
    <row r="100" spans="1:69" s="36" customFormat="1" ht="28.8">
      <c r="A100" s="75" t="s">
        <v>1278</v>
      </c>
      <c r="B100" s="38" t="s">
        <v>263</v>
      </c>
      <c r="C100" s="38"/>
      <c r="D100" s="150">
        <v>2000</v>
      </c>
      <c r="E100" s="109" t="s">
        <v>698</v>
      </c>
      <c r="F100" s="37" t="s">
        <v>698</v>
      </c>
      <c r="G100" s="30" t="s">
        <v>90</v>
      </c>
      <c r="H100" s="30"/>
      <c r="I100" s="289"/>
      <c r="J100" s="289"/>
      <c r="K100" s="289"/>
      <c r="L100" s="291">
        <v>46007</v>
      </c>
      <c r="M100" s="290" t="s">
        <v>38</v>
      </c>
      <c r="N100" s="276" t="s">
        <v>1279</v>
      </c>
      <c r="O100" s="38" t="s">
        <v>1280</v>
      </c>
      <c r="P100" s="33" t="s">
        <v>1281</v>
      </c>
      <c r="Q100" s="221"/>
      <c r="R100" s="37"/>
      <c r="S100" s="37"/>
      <c r="T100" s="195"/>
      <c r="U100" s="37"/>
      <c r="V100" s="37"/>
      <c r="W100" s="195"/>
      <c r="X100" s="29"/>
      <c r="Y100" s="33"/>
      <c r="Z100" s="30"/>
      <c r="AA100" s="55" t="s">
        <v>1282</v>
      </c>
      <c r="AB100" s="36" t="s">
        <v>1283</v>
      </c>
      <c r="AC100" s="64" t="s">
        <v>1284</v>
      </c>
      <c r="AD100" s="36" t="s">
        <v>1285</v>
      </c>
      <c r="AG100" s="36" t="s">
        <v>271</v>
      </c>
    </row>
    <row r="101" spans="1:69" s="36" customFormat="1">
      <c r="A101" s="142" t="s">
        <v>1286</v>
      </c>
      <c r="B101" s="129" t="s">
        <v>197</v>
      </c>
      <c r="C101" s="129" t="s">
        <v>197</v>
      </c>
      <c r="D101" s="152">
        <v>2000</v>
      </c>
      <c r="E101" s="141" t="s">
        <v>398</v>
      </c>
      <c r="F101" s="48" t="s">
        <v>398</v>
      </c>
      <c r="G101" s="30" t="s">
        <v>37</v>
      </c>
      <c r="H101" s="30"/>
      <c r="I101" s="289" t="s">
        <v>60</v>
      </c>
      <c r="J101" s="289" t="s">
        <v>1287</v>
      </c>
      <c r="K101" s="289"/>
      <c r="L101" s="291">
        <v>46007</v>
      </c>
      <c r="M101" s="290" t="s">
        <v>38</v>
      </c>
      <c r="N101" s="282" t="s">
        <v>1288</v>
      </c>
      <c r="O101" s="255" t="s">
        <v>1289</v>
      </c>
      <c r="P101" s="305" t="s">
        <v>1290</v>
      </c>
      <c r="Q101" s="264">
        <v>56973957576</v>
      </c>
      <c r="R101" s="255" t="s">
        <v>1291</v>
      </c>
      <c r="S101" s="256" t="s">
        <v>1292</v>
      </c>
      <c r="T101" s="148">
        <v>56972182077</v>
      </c>
      <c r="U101" s="48"/>
      <c r="V101" s="56"/>
      <c r="W101" s="56"/>
      <c r="X101" s="48"/>
      <c r="Y101" s="40"/>
      <c r="Z101" s="137" t="s">
        <v>1290</v>
      </c>
      <c r="AA101" s="139" t="s">
        <v>1293</v>
      </c>
      <c r="AB101" s="129" t="s">
        <v>1294</v>
      </c>
      <c r="AC101" s="137" t="s">
        <v>1295</v>
      </c>
      <c r="AD101" s="136" t="s">
        <v>1296</v>
      </c>
      <c r="AE101" s="48" t="s">
        <v>53</v>
      </c>
      <c r="AF101" s="36" t="s">
        <v>54</v>
      </c>
      <c r="AG101" s="36" t="s">
        <v>1297</v>
      </c>
      <c r="AH101" s="180" t="s">
        <v>1298</v>
      </c>
      <c r="AI101" s="36" t="s">
        <v>1041</v>
      </c>
    </row>
    <row r="102" spans="1:69" s="36" customFormat="1">
      <c r="A102" s="119" t="s">
        <v>1299</v>
      </c>
      <c r="B102" s="128" t="s">
        <v>965</v>
      </c>
      <c r="C102" s="128" t="s">
        <v>965</v>
      </c>
      <c r="D102" s="150">
        <v>1500</v>
      </c>
      <c r="E102" s="125" t="s">
        <v>89</v>
      </c>
      <c r="F102" s="37" t="s">
        <v>89</v>
      </c>
      <c r="G102" s="30" t="s">
        <v>90</v>
      </c>
      <c r="H102" s="30"/>
      <c r="I102" s="289" t="s">
        <v>1101</v>
      </c>
      <c r="J102" s="289" t="s">
        <v>1300</v>
      </c>
      <c r="K102" s="289"/>
      <c r="L102" s="291">
        <v>46007</v>
      </c>
      <c r="M102" s="290" t="s">
        <v>38</v>
      </c>
      <c r="N102" s="276" t="s">
        <v>1301</v>
      </c>
      <c r="O102" s="128" t="s">
        <v>1302</v>
      </c>
      <c r="P102" s="130" t="s">
        <v>1303</v>
      </c>
      <c r="Q102" s="230">
        <v>50660577388</v>
      </c>
      <c r="R102" s="128"/>
      <c r="S102" s="135"/>
      <c r="T102" s="214"/>
      <c r="U102" s="30"/>
      <c r="V102" s="30"/>
      <c r="W102" s="199"/>
      <c r="X102" s="29"/>
      <c r="Y102" s="33"/>
      <c r="Z102" s="124" t="s">
        <v>1303</v>
      </c>
      <c r="AA102" s="120" t="s">
        <v>1304</v>
      </c>
      <c r="AB102" s="129" t="s">
        <v>1305</v>
      </c>
      <c r="AC102" s="129">
        <v>3101666929</v>
      </c>
      <c r="AD102" s="138" t="s">
        <v>1306</v>
      </c>
      <c r="AE102" s="36" t="s">
        <v>53</v>
      </c>
      <c r="AG102" s="36" t="s">
        <v>334</v>
      </c>
    </row>
    <row r="103" spans="1:69" s="36" customFormat="1">
      <c r="A103" s="75" t="s">
        <v>1307</v>
      </c>
      <c r="B103" s="38" t="s">
        <v>965</v>
      </c>
      <c r="C103" s="38"/>
      <c r="D103" s="150">
        <v>2000</v>
      </c>
      <c r="E103" s="109" t="s">
        <v>36</v>
      </c>
      <c r="F103" s="30" t="s">
        <v>36</v>
      </c>
      <c r="G103" s="30" t="s">
        <v>37</v>
      </c>
      <c r="H103" s="30"/>
      <c r="I103" s="289"/>
      <c r="J103" s="289"/>
      <c r="K103" s="289"/>
      <c r="L103" s="291">
        <v>46007</v>
      </c>
      <c r="M103" s="290" t="s">
        <v>38</v>
      </c>
      <c r="N103" s="276" t="s">
        <v>1308</v>
      </c>
      <c r="O103" s="38" t="s">
        <v>1309</v>
      </c>
      <c r="P103" s="33" t="s">
        <v>1310</v>
      </c>
      <c r="Q103" s="245"/>
      <c r="R103" s="38"/>
      <c r="S103" s="33"/>
      <c r="T103" s="33"/>
      <c r="U103" s="30"/>
      <c r="V103" s="30"/>
      <c r="W103" s="30"/>
      <c r="X103" s="29"/>
      <c r="Y103" s="33"/>
      <c r="Z103" s="30"/>
      <c r="AA103" s="55" t="s">
        <v>84</v>
      </c>
      <c r="AB103" s="36">
        <v>5116127100</v>
      </c>
      <c r="AD103" s="36" t="s">
        <v>1311</v>
      </c>
      <c r="AG103" s="36" t="s">
        <v>271</v>
      </c>
    </row>
    <row r="104" spans="1:69" s="36" customFormat="1">
      <c r="A104" s="75" t="s">
        <v>1312</v>
      </c>
      <c r="B104" s="38" t="s">
        <v>108</v>
      </c>
      <c r="C104" s="38"/>
      <c r="D104" s="150">
        <v>2500</v>
      </c>
      <c r="E104" s="109" t="s">
        <v>212</v>
      </c>
      <c r="F104" s="30" t="s">
        <v>212</v>
      </c>
      <c r="G104" s="30" t="s">
        <v>37</v>
      </c>
      <c r="H104" s="30"/>
      <c r="I104" s="289"/>
      <c r="J104" s="289"/>
      <c r="K104" s="289"/>
      <c r="L104" s="291">
        <v>46007</v>
      </c>
      <c r="M104" s="290" t="s">
        <v>38</v>
      </c>
      <c r="N104" s="277" t="s">
        <v>264</v>
      </c>
      <c r="O104" s="38" t="s">
        <v>1313</v>
      </c>
      <c r="P104" s="33" t="s">
        <v>1314</v>
      </c>
      <c r="Q104" s="245"/>
      <c r="R104" s="38"/>
      <c r="S104" s="58"/>
      <c r="T104" s="58"/>
      <c r="U104" s="29" t="s">
        <v>1315</v>
      </c>
      <c r="V104" s="33" t="s">
        <v>1316</v>
      </c>
      <c r="W104" s="33"/>
      <c r="X104" s="29"/>
      <c r="Y104" s="58"/>
      <c r="Z104" s="30"/>
      <c r="AA104" s="55" t="s">
        <v>1317</v>
      </c>
      <c r="AB104" s="36" t="s">
        <v>1318</v>
      </c>
      <c r="AC104" s="36">
        <v>1791183452001</v>
      </c>
      <c r="AD104" s="36" t="s">
        <v>1319</v>
      </c>
      <c r="AE104" s="36" t="s">
        <v>53</v>
      </c>
      <c r="AG104" s="36" t="s">
        <v>1320</v>
      </c>
      <c r="AH104" s="180" t="s">
        <v>1321</v>
      </c>
      <c r="AI104" s="36" t="s">
        <v>1322</v>
      </c>
    </row>
    <row r="105" spans="1:69" s="36" customFormat="1">
      <c r="A105" s="107" t="s">
        <v>1323</v>
      </c>
      <c r="B105" s="108" t="s">
        <v>1324</v>
      </c>
      <c r="C105" s="108"/>
      <c r="D105" s="150">
        <v>1500</v>
      </c>
      <c r="E105" s="109" t="s">
        <v>1325</v>
      </c>
      <c r="F105" s="37" t="s">
        <v>1325</v>
      </c>
      <c r="G105" s="30" t="s">
        <v>90</v>
      </c>
      <c r="H105" s="30"/>
      <c r="I105" s="289"/>
      <c r="J105" s="289"/>
      <c r="K105" s="289"/>
      <c r="L105" s="291">
        <v>46007</v>
      </c>
      <c r="M105" s="290" t="s">
        <v>38</v>
      </c>
      <c r="N105" s="277" t="s">
        <v>1326</v>
      </c>
      <c r="O105" s="38" t="s">
        <v>1327</v>
      </c>
      <c r="P105" s="31" t="s">
        <v>1328</v>
      </c>
      <c r="Q105" s="217"/>
      <c r="R105" s="38"/>
      <c r="S105" s="33"/>
      <c r="T105" s="196"/>
      <c r="U105" s="29" t="s">
        <v>1329</v>
      </c>
      <c r="V105" s="33" t="s">
        <v>1330</v>
      </c>
      <c r="W105" s="196"/>
      <c r="X105" s="29"/>
      <c r="Y105" s="33"/>
      <c r="Z105" s="30"/>
      <c r="AA105" s="55" t="s">
        <v>1331</v>
      </c>
      <c r="AB105" s="36" t="s">
        <v>1332</v>
      </c>
      <c r="AD105" s="36" t="s">
        <v>1333</v>
      </c>
      <c r="AE105" s="36" t="s">
        <v>53</v>
      </c>
      <c r="AG105" s="64" t="s">
        <v>1334</v>
      </c>
      <c r="AH105" s="184" t="s">
        <v>1335</v>
      </c>
      <c r="AI105" s="36" t="s">
        <v>1336</v>
      </c>
    </row>
    <row r="106" spans="1:69" s="36" customFormat="1" ht="28.8">
      <c r="A106" s="75" t="s">
        <v>1337</v>
      </c>
      <c r="B106" s="38" t="s">
        <v>88</v>
      </c>
      <c r="C106" s="38"/>
      <c r="D106" s="150">
        <v>5000</v>
      </c>
      <c r="E106" s="109" t="s">
        <v>698</v>
      </c>
      <c r="F106" s="30" t="s">
        <v>698</v>
      </c>
      <c r="G106" s="30" t="s">
        <v>90</v>
      </c>
      <c r="H106" s="30" t="s">
        <v>54</v>
      </c>
      <c r="I106" s="289" t="s">
        <v>60</v>
      </c>
      <c r="J106" s="289" t="s">
        <v>1338</v>
      </c>
      <c r="K106" s="289" t="s">
        <v>1339</v>
      </c>
      <c r="L106" s="291">
        <v>46006</v>
      </c>
      <c r="M106" s="290" t="s">
        <v>289</v>
      </c>
      <c r="N106" s="277"/>
      <c r="O106" s="38" t="s">
        <v>1338</v>
      </c>
      <c r="P106" s="33" t="s">
        <v>1340</v>
      </c>
      <c r="Q106" s="221" t="s">
        <v>1341</v>
      </c>
      <c r="R106" s="38"/>
      <c r="S106" s="58"/>
      <c r="T106" s="201"/>
      <c r="U106" s="29" t="s">
        <v>1342</v>
      </c>
      <c r="V106" s="58" t="s">
        <v>1343</v>
      </c>
      <c r="W106" s="201"/>
      <c r="X106" s="29"/>
      <c r="Y106" s="33"/>
      <c r="Z106" s="30"/>
      <c r="AA106" s="55" t="s">
        <v>1344</v>
      </c>
      <c r="AB106" s="36" t="s">
        <v>1345</v>
      </c>
      <c r="AD106" s="36" t="s">
        <v>1346</v>
      </c>
      <c r="AE106" s="36" t="s">
        <v>53</v>
      </c>
      <c r="AG106" s="36" t="s">
        <v>1268</v>
      </c>
      <c r="AH106" s="180" t="s">
        <v>1347</v>
      </c>
      <c r="AI106" s="36" t="s">
        <v>1348</v>
      </c>
    </row>
    <row r="107" spans="1:69" s="48" customFormat="1">
      <c r="A107" s="75" t="s">
        <v>1349</v>
      </c>
      <c r="B107" s="38" t="s">
        <v>436</v>
      </c>
      <c r="C107" s="38"/>
      <c r="D107" s="150">
        <v>3500</v>
      </c>
      <c r="E107" s="109" t="s">
        <v>89</v>
      </c>
      <c r="F107" s="30" t="s">
        <v>89</v>
      </c>
      <c r="G107" s="30" t="s">
        <v>90</v>
      </c>
      <c r="H107" s="30"/>
      <c r="I107" s="289" t="s">
        <v>60</v>
      </c>
      <c r="J107" s="289" t="s">
        <v>1350</v>
      </c>
      <c r="K107" s="289"/>
      <c r="L107" s="291">
        <v>46007</v>
      </c>
      <c r="M107" s="290" t="s">
        <v>38</v>
      </c>
      <c r="N107" s="277" t="s">
        <v>1351</v>
      </c>
      <c r="O107" s="38" t="s">
        <v>1352</v>
      </c>
      <c r="P107" s="33" t="s">
        <v>1353</v>
      </c>
      <c r="Q107" s="221"/>
      <c r="R107" s="38"/>
      <c r="S107" s="33"/>
      <c r="T107" s="196"/>
      <c r="U107" s="30"/>
      <c r="V107" s="30"/>
      <c r="W107" s="199"/>
      <c r="X107" s="29"/>
      <c r="Y107" s="33"/>
      <c r="Z107" s="185" t="s">
        <v>1354</v>
      </c>
      <c r="AA107" s="55" t="s">
        <v>1355</v>
      </c>
      <c r="AB107" s="36" t="s">
        <v>1356</v>
      </c>
      <c r="AC107" s="36"/>
      <c r="AD107" s="36" t="s">
        <v>1357</v>
      </c>
      <c r="AE107" s="36"/>
      <c r="AF107" s="36"/>
      <c r="AG107" s="36" t="s">
        <v>1210</v>
      </c>
      <c r="AH107" s="180" t="s">
        <v>1358</v>
      </c>
      <c r="AI107" s="36" t="s">
        <v>1359</v>
      </c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  <c r="BK107" s="36"/>
      <c r="BL107" s="36"/>
      <c r="BM107" s="36"/>
      <c r="BN107" s="36"/>
      <c r="BO107" s="36"/>
      <c r="BP107" s="36"/>
      <c r="BQ107" s="36"/>
    </row>
    <row r="108" spans="1:69" s="48" customFormat="1">
      <c r="A108" s="75" t="s">
        <v>1360</v>
      </c>
      <c r="B108" s="38" t="s">
        <v>157</v>
      </c>
      <c r="C108" s="38"/>
      <c r="D108" s="150">
        <v>2500</v>
      </c>
      <c r="E108" s="109" t="s">
        <v>89</v>
      </c>
      <c r="F108" s="30" t="s">
        <v>89</v>
      </c>
      <c r="G108" s="30" t="s">
        <v>90</v>
      </c>
      <c r="H108" s="30"/>
      <c r="I108" s="288"/>
      <c r="J108" s="288"/>
      <c r="K108" s="288"/>
      <c r="L108" s="292">
        <v>46007</v>
      </c>
      <c r="M108" s="293" t="s">
        <v>38</v>
      </c>
      <c r="N108" s="281" t="s">
        <v>264</v>
      </c>
      <c r="O108" s="38" t="s">
        <v>1361</v>
      </c>
      <c r="P108" s="33" t="s">
        <v>1362</v>
      </c>
      <c r="Q108" s="221"/>
      <c r="R108" s="38"/>
      <c r="S108" s="33"/>
      <c r="T108" s="196"/>
      <c r="U108" s="29" t="s">
        <v>1363</v>
      </c>
      <c r="V108" s="58" t="s">
        <v>1364</v>
      </c>
      <c r="W108" s="201"/>
      <c r="X108" s="29"/>
      <c r="Y108" s="33"/>
      <c r="Z108" s="30"/>
      <c r="AA108" s="50" t="s">
        <v>1365</v>
      </c>
      <c r="AB108" s="36" t="s">
        <v>1366</v>
      </c>
      <c r="AC108" s="36" t="s">
        <v>1367</v>
      </c>
      <c r="AD108" s="36" t="s">
        <v>1368</v>
      </c>
      <c r="AE108" s="36" t="s">
        <v>53</v>
      </c>
      <c r="AF108" s="36"/>
      <c r="AG108" s="48" t="s">
        <v>1125</v>
      </c>
      <c r="AH108" s="180" t="s">
        <v>1369</v>
      </c>
      <c r="AI108" s="48" t="s">
        <v>1370</v>
      </c>
    </row>
    <row r="109" spans="1:69" s="36" customFormat="1" ht="20.399999999999999">
      <c r="A109" s="119" t="s">
        <v>1371</v>
      </c>
      <c r="B109" s="129" t="s">
        <v>336</v>
      </c>
      <c r="C109" s="139" t="s">
        <v>1372</v>
      </c>
      <c r="D109" s="152">
        <v>2500</v>
      </c>
      <c r="E109" s="111" t="s">
        <v>1373</v>
      </c>
      <c r="F109" s="62" t="s">
        <v>1373</v>
      </c>
      <c r="G109" s="30" t="s">
        <v>37</v>
      </c>
      <c r="H109" s="30" t="s">
        <v>54</v>
      </c>
      <c r="I109" s="288" t="s">
        <v>60</v>
      </c>
      <c r="J109" s="288" t="s">
        <v>1374</v>
      </c>
      <c r="K109" s="288"/>
      <c r="L109" s="292">
        <v>46007</v>
      </c>
      <c r="M109" s="293" t="s">
        <v>38</v>
      </c>
      <c r="N109" s="280" t="s">
        <v>1375</v>
      </c>
      <c r="O109" s="129" t="s">
        <v>1376</v>
      </c>
      <c r="P109" s="136" t="s">
        <v>1377</v>
      </c>
      <c r="Q109" s="247" t="s">
        <v>1378</v>
      </c>
      <c r="R109" s="129" t="s">
        <v>1374</v>
      </c>
      <c r="S109" s="131" t="s">
        <v>1379</v>
      </c>
      <c r="T109" s="137">
        <v>3102191997</v>
      </c>
      <c r="U109" s="129" t="s">
        <v>1380</v>
      </c>
      <c r="V109" s="137" t="s">
        <v>1381</v>
      </c>
      <c r="W109" s="131" t="s">
        <v>1382</v>
      </c>
      <c r="X109" s="48"/>
      <c r="Y109" s="40"/>
      <c r="Z109" s="138" t="s">
        <v>1381</v>
      </c>
      <c r="AA109" s="129" t="s">
        <v>1383</v>
      </c>
      <c r="AB109" s="139" t="s">
        <v>1384</v>
      </c>
      <c r="AC109" s="129" t="s">
        <v>1385</v>
      </c>
      <c r="AD109" s="138" t="s">
        <v>1386</v>
      </c>
      <c r="AE109" s="48" t="s">
        <v>53</v>
      </c>
      <c r="AG109" s="48" t="s">
        <v>334</v>
      </c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48"/>
      <c r="AW109" s="48"/>
      <c r="AX109" s="48"/>
      <c r="AY109" s="48"/>
      <c r="AZ109" s="48"/>
      <c r="BA109" s="48"/>
      <c r="BB109" s="48"/>
      <c r="BC109" s="48"/>
      <c r="BD109" s="48"/>
      <c r="BE109" s="48"/>
      <c r="BF109" s="48"/>
      <c r="BG109" s="48"/>
      <c r="BH109" s="48"/>
      <c r="BI109" s="48"/>
      <c r="BJ109" s="48"/>
      <c r="BK109" s="48"/>
      <c r="BL109" s="48"/>
      <c r="BM109" s="48"/>
      <c r="BN109" s="48"/>
      <c r="BO109" s="48"/>
      <c r="BP109" s="48"/>
      <c r="BQ109" s="48"/>
    </row>
    <row r="110" spans="1:69" s="36" customFormat="1">
      <c r="A110" s="77" t="s">
        <v>1387</v>
      </c>
      <c r="B110" s="57" t="s">
        <v>436</v>
      </c>
      <c r="C110" s="57"/>
      <c r="D110" s="151">
        <v>1500</v>
      </c>
      <c r="E110" s="110" t="s">
        <v>1388</v>
      </c>
      <c r="F110" s="37" t="s">
        <v>1389</v>
      </c>
      <c r="G110" s="43" t="s">
        <v>37</v>
      </c>
      <c r="H110" s="43" t="s">
        <v>54</v>
      </c>
      <c r="I110" s="289" t="s">
        <v>60</v>
      </c>
      <c r="J110" s="288" t="s">
        <v>1390</v>
      </c>
      <c r="K110" s="288"/>
      <c r="L110" s="292">
        <v>46007</v>
      </c>
      <c r="M110" s="293" t="s">
        <v>38</v>
      </c>
      <c r="N110" s="281" t="s">
        <v>1391</v>
      </c>
      <c r="O110" s="57" t="s">
        <v>1392</v>
      </c>
      <c r="P110" s="52" t="s">
        <v>1393</v>
      </c>
      <c r="Q110" s="246"/>
      <c r="R110" s="43"/>
      <c r="S110" s="43"/>
      <c r="T110" s="43"/>
      <c r="U110" s="43"/>
      <c r="V110" s="43"/>
      <c r="W110" s="43"/>
      <c r="X110" s="42"/>
      <c r="Y110" s="52"/>
      <c r="Z110" s="43"/>
      <c r="AA110" s="53" t="s">
        <v>1394</v>
      </c>
      <c r="AB110" s="48" t="s">
        <v>1395</v>
      </c>
      <c r="AC110" s="48" t="s">
        <v>1396</v>
      </c>
      <c r="AD110" s="48" t="s">
        <v>1397</v>
      </c>
      <c r="AE110" s="48" t="s">
        <v>53</v>
      </c>
      <c r="AF110" s="48"/>
      <c r="AG110" s="59" t="s">
        <v>1398</v>
      </c>
      <c r="AH110" s="180" t="s">
        <v>1399</v>
      </c>
      <c r="AI110" s="48" t="s">
        <v>1400</v>
      </c>
      <c r="AJ110" s="48"/>
      <c r="AK110" s="48"/>
      <c r="AL110" s="48"/>
      <c r="AM110" s="48"/>
      <c r="AN110" s="48"/>
      <c r="AO110" s="48"/>
      <c r="AP110" s="48"/>
      <c r="AQ110" s="48"/>
      <c r="AR110" s="48"/>
      <c r="AS110" s="48"/>
      <c r="AT110" s="48"/>
      <c r="AU110" s="48"/>
      <c r="AV110" s="48"/>
      <c r="AW110" s="48"/>
      <c r="AX110" s="48"/>
      <c r="AY110" s="48"/>
      <c r="AZ110" s="48"/>
      <c r="BA110" s="48"/>
      <c r="BB110" s="48"/>
      <c r="BC110" s="48"/>
      <c r="BD110" s="48"/>
      <c r="BE110" s="48"/>
      <c r="BF110" s="48"/>
      <c r="BG110" s="48"/>
      <c r="BH110" s="48"/>
      <c r="BI110" s="48"/>
      <c r="BJ110" s="48"/>
      <c r="BK110" s="48"/>
      <c r="BL110" s="48"/>
      <c r="BM110" s="48"/>
      <c r="BN110" s="48"/>
      <c r="BO110" s="48"/>
      <c r="BP110" s="48"/>
      <c r="BQ110" s="48"/>
    </row>
    <row r="111" spans="1:69" s="36" customFormat="1" ht="28.8">
      <c r="A111" s="75" t="s">
        <v>1401</v>
      </c>
      <c r="B111" s="38" t="s">
        <v>57</v>
      </c>
      <c r="C111" s="38"/>
      <c r="D111" s="150">
        <v>2500</v>
      </c>
      <c r="E111" s="109" t="s">
        <v>89</v>
      </c>
      <c r="F111" s="37" t="s">
        <v>698</v>
      </c>
      <c r="G111" s="30" t="s">
        <v>90</v>
      </c>
      <c r="H111" s="30"/>
      <c r="I111" s="289" t="s">
        <v>60</v>
      </c>
      <c r="J111" s="289" t="s">
        <v>1402</v>
      </c>
      <c r="K111" s="289" t="s">
        <v>1403</v>
      </c>
      <c r="L111" s="290" t="s">
        <v>1074</v>
      </c>
      <c r="M111" s="290" t="s">
        <v>1075</v>
      </c>
      <c r="N111" s="277"/>
      <c r="O111" s="38" t="s">
        <v>1404</v>
      </c>
      <c r="P111" s="33" t="s">
        <v>1405</v>
      </c>
      <c r="Q111" s="221" t="s">
        <v>1406</v>
      </c>
      <c r="R111" s="37"/>
      <c r="S111" s="37"/>
      <c r="T111" s="195"/>
      <c r="U111" s="37"/>
      <c r="V111" s="37"/>
      <c r="W111" s="195"/>
      <c r="X111" s="29"/>
      <c r="Y111" s="33"/>
      <c r="Z111" s="30"/>
      <c r="AA111" s="55" t="s">
        <v>1407</v>
      </c>
      <c r="AB111" s="36" t="s">
        <v>1408</v>
      </c>
      <c r="AD111" s="36" t="s">
        <v>1409</v>
      </c>
      <c r="AF111" s="48"/>
      <c r="AG111" s="64" t="s">
        <v>1410</v>
      </c>
      <c r="AH111" s="180" t="s">
        <v>1411</v>
      </c>
      <c r="AI111" s="36" t="s">
        <v>1404</v>
      </c>
    </row>
    <row r="112" spans="1:69" s="36" customFormat="1" ht="28.8">
      <c r="A112" s="119" t="s">
        <v>1412</v>
      </c>
      <c r="B112" s="128" t="s">
        <v>108</v>
      </c>
      <c r="C112" s="128" t="s">
        <v>108</v>
      </c>
      <c r="D112" s="150">
        <v>1500</v>
      </c>
      <c r="E112" s="125" t="s">
        <v>36</v>
      </c>
      <c r="F112" s="30" t="s">
        <v>36</v>
      </c>
      <c r="G112" s="30" t="s">
        <v>37</v>
      </c>
      <c r="H112" s="30"/>
      <c r="I112" s="289" t="s">
        <v>1101</v>
      </c>
      <c r="J112" s="289" t="s">
        <v>1413</v>
      </c>
      <c r="K112" s="289"/>
      <c r="L112" s="291">
        <v>46007</v>
      </c>
      <c r="M112" s="290" t="s">
        <v>38</v>
      </c>
      <c r="N112" s="276" t="s">
        <v>1414</v>
      </c>
      <c r="O112" s="128" t="s">
        <v>1415</v>
      </c>
      <c r="P112" s="135" t="s">
        <v>1416</v>
      </c>
      <c r="Q112" s="247">
        <v>995915256</v>
      </c>
      <c r="R112" s="137" t="s">
        <v>1417</v>
      </c>
      <c r="S112" s="137" t="s">
        <v>1418</v>
      </c>
      <c r="T112" s="137" t="s">
        <v>1419</v>
      </c>
      <c r="U112" s="30" t="s">
        <v>1420</v>
      </c>
      <c r="V112" s="32" t="s">
        <v>1421</v>
      </c>
      <c r="W112" s="32"/>
      <c r="X112" s="30"/>
      <c r="Y112" s="32"/>
      <c r="Z112" s="124" t="s">
        <v>1422</v>
      </c>
      <c r="AA112" s="120" t="s">
        <v>1423</v>
      </c>
      <c r="AB112" s="129" t="s">
        <v>1424</v>
      </c>
      <c r="AC112" s="139" t="s">
        <v>1425</v>
      </c>
      <c r="AD112" s="138" t="s">
        <v>1426</v>
      </c>
      <c r="AE112" s="36" t="s">
        <v>53</v>
      </c>
      <c r="AF112" s="48"/>
      <c r="AG112" s="36" t="s">
        <v>1427</v>
      </c>
    </row>
    <row r="113" spans="1:69" s="36" customFormat="1">
      <c r="A113" s="75" t="s">
        <v>1428</v>
      </c>
      <c r="B113" s="38" t="s">
        <v>76</v>
      </c>
      <c r="C113" s="38"/>
      <c r="D113" s="150">
        <v>3500</v>
      </c>
      <c r="E113" s="109" t="s">
        <v>89</v>
      </c>
      <c r="F113" s="30" t="s">
        <v>89</v>
      </c>
      <c r="G113" s="30" t="s">
        <v>90</v>
      </c>
      <c r="H113" s="30"/>
      <c r="I113" s="289" t="s">
        <v>338</v>
      </c>
      <c r="J113" s="289" t="s">
        <v>1429</v>
      </c>
      <c r="K113" s="289" t="s">
        <v>1430</v>
      </c>
      <c r="L113" s="291">
        <v>46007</v>
      </c>
      <c r="M113" s="290" t="s">
        <v>289</v>
      </c>
      <c r="N113" s="277"/>
      <c r="O113" s="38" t="s">
        <v>1431</v>
      </c>
      <c r="P113" s="33" t="s">
        <v>1432</v>
      </c>
      <c r="Q113" s="221" t="s">
        <v>1433</v>
      </c>
      <c r="R113" s="37"/>
      <c r="S113" s="37"/>
      <c r="T113" s="195"/>
      <c r="U113" s="37"/>
      <c r="V113" s="37"/>
      <c r="W113" s="195"/>
      <c r="X113" s="29"/>
      <c r="Y113" s="33"/>
      <c r="Z113" s="30"/>
      <c r="AA113" s="50" t="s">
        <v>1434</v>
      </c>
      <c r="AB113" s="36" t="s">
        <v>1435</v>
      </c>
      <c r="AD113" s="36" t="s">
        <v>1436</v>
      </c>
      <c r="AG113" s="64" t="s">
        <v>1437</v>
      </c>
      <c r="AH113" s="180" t="s">
        <v>1438</v>
      </c>
      <c r="AI113" s="36" t="s">
        <v>1439</v>
      </c>
    </row>
    <row r="114" spans="1:69" s="36" customFormat="1" ht="28.8">
      <c r="A114" s="75" t="s">
        <v>1440</v>
      </c>
      <c r="B114" s="38" t="s">
        <v>108</v>
      </c>
      <c r="C114" s="38"/>
      <c r="D114" s="150">
        <v>2000</v>
      </c>
      <c r="E114" s="109" t="s">
        <v>36</v>
      </c>
      <c r="F114" s="37" t="s">
        <v>36</v>
      </c>
      <c r="G114" s="30" t="s">
        <v>37</v>
      </c>
      <c r="H114" s="30"/>
      <c r="I114" s="289"/>
      <c r="J114" s="289"/>
      <c r="K114" s="289"/>
      <c r="L114" s="291">
        <v>46007</v>
      </c>
      <c r="M114" s="290" t="s">
        <v>38</v>
      </c>
      <c r="N114" s="277" t="s">
        <v>264</v>
      </c>
      <c r="O114" s="38" t="s">
        <v>1441</v>
      </c>
      <c r="P114" s="33" t="s">
        <v>1442</v>
      </c>
      <c r="Q114" s="245"/>
      <c r="R114" s="37"/>
      <c r="S114" s="37"/>
      <c r="T114" s="37"/>
      <c r="U114" s="37"/>
      <c r="V114" s="37"/>
      <c r="W114" s="37"/>
      <c r="X114" s="29"/>
      <c r="Y114" s="33"/>
      <c r="Z114" s="185" t="s">
        <v>1443</v>
      </c>
      <c r="AA114" s="55" t="s">
        <v>1444</v>
      </c>
      <c r="AB114" s="36" t="s">
        <v>1445</v>
      </c>
      <c r="AD114" s="36" t="s">
        <v>1446</v>
      </c>
      <c r="AE114" s="36" t="s">
        <v>53</v>
      </c>
      <c r="AG114" s="64" t="s">
        <v>1447</v>
      </c>
      <c r="AH114" s="180" t="s">
        <v>1448</v>
      </c>
      <c r="AI114" s="36" t="s">
        <v>1449</v>
      </c>
    </row>
    <row r="115" spans="1:69" s="36" customFormat="1" ht="43.2">
      <c r="A115" s="75" t="s">
        <v>1450</v>
      </c>
      <c r="B115" s="29" t="s">
        <v>349</v>
      </c>
      <c r="C115" s="29"/>
      <c r="D115" s="150">
        <v>2500</v>
      </c>
      <c r="E115" s="109" t="s">
        <v>212</v>
      </c>
      <c r="F115" s="30" t="s">
        <v>212</v>
      </c>
      <c r="G115" s="30" t="s">
        <v>37</v>
      </c>
      <c r="H115" s="30"/>
      <c r="I115" s="289" t="s">
        <v>60</v>
      </c>
      <c r="J115" s="289" t="s">
        <v>1451</v>
      </c>
      <c r="K115" s="289"/>
      <c r="L115" s="291">
        <v>46007</v>
      </c>
      <c r="M115" s="290" t="s">
        <v>38</v>
      </c>
      <c r="N115" s="276" t="s">
        <v>1452</v>
      </c>
      <c r="O115" s="38" t="s">
        <v>1453</v>
      </c>
      <c r="P115" s="31" t="s">
        <v>1454</v>
      </c>
      <c r="Q115" s="239"/>
      <c r="R115" s="38" t="s">
        <v>1455</v>
      </c>
      <c r="S115" s="31" t="s">
        <v>1456</v>
      </c>
      <c r="T115" s="31"/>
      <c r="U115" s="30" t="s">
        <v>1457</v>
      </c>
      <c r="V115" s="32" t="s">
        <v>1458</v>
      </c>
      <c r="W115" s="32"/>
      <c r="X115" s="30"/>
      <c r="Y115" s="32"/>
      <c r="Z115" s="30"/>
      <c r="AA115" s="55" t="s">
        <v>1459</v>
      </c>
      <c r="AB115" s="64" t="s">
        <v>1460</v>
      </c>
      <c r="AC115" s="64" t="s">
        <v>1461</v>
      </c>
      <c r="AD115" s="64" t="s">
        <v>1462</v>
      </c>
      <c r="AE115" s="36" t="s">
        <v>53</v>
      </c>
      <c r="AG115" s="36" t="s">
        <v>1463</v>
      </c>
    </row>
    <row r="116" spans="1:69" s="36" customFormat="1">
      <c r="A116" s="75" t="s">
        <v>1464</v>
      </c>
      <c r="B116" s="38" t="s">
        <v>197</v>
      </c>
      <c r="C116" s="38"/>
      <c r="D116" s="150">
        <v>2500</v>
      </c>
      <c r="E116" s="109" t="s">
        <v>212</v>
      </c>
      <c r="F116" s="30" t="s">
        <v>212</v>
      </c>
      <c r="G116" s="30" t="s">
        <v>37</v>
      </c>
      <c r="H116" s="30" t="s">
        <v>54</v>
      </c>
      <c r="I116" s="289" t="s">
        <v>60</v>
      </c>
      <c r="J116" s="289" t="s">
        <v>1465</v>
      </c>
      <c r="K116" s="289"/>
      <c r="L116" s="291">
        <v>46007</v>
      </c>
      <c r="M116" s="290" t="s">
        <v>38</v>
      </c>
      <c r="N116" s="276" t="s">
        <v>1466</v>
      </c>
      <c r="O116" s="38" t="s">
        <v>1465</v>
      </c>
      <c r="P116" s="40" t="s">
        <v>1467</v>
      </c>
      <c r="Q116" s="241"/>
      <c r="R116" s="38" t="s">
        <v>1468</v>
      </c>
      <c r="S116" s="41" t="s">
        <v>1469</v>
      </c>
      <c r="T116" s="41"/>
      <c r="U116" s="29" t="s">
        <v>1470</v>
      </c>
      <c r="V116" s="58" t="s">
        <v>1471</v>
      </c>
      <c r="W116" s="58"/>
      <c r="X116" s="29"/>
      <c r="Y116" s="33"/>
      <c r="Z116" s="30"/>
      <c r="AA116" s="55" t="s">
        <v>1472</v>
      </c>
      <c r="AB116" s="36">
        <v>56940171292</v>
      </c>
      <c r="AD116" s="36" t="s">
        <v>1473</v>
      </c>
      <c r="AE116" s="36" t="s">
        <v>704</v>
      </c>
      <c r="AG116" s="36" t="s">
        <v>1474</v>
      </c>
      <c r="AH116" s="180" t="s">
        <v>1475</v>
      </c>
      <c r="AI116" s="36" t="s">
        <v>548</v>
      </c>
    </row>
    <row r="117" spans="1:69" s="48" customFormat="1">
      <c r="A117" s="75" t="s">
        <v>1476</v>
      </c>
      <c r="B117" s="38" t="s">
        <v>197</v>
      </c>
      <c r="C117" s="38"/>
      <c r="D117" s="150">
        <v>1500</v>
      </c>
      <c r="E117" s="109" t="s">
        <v>398</v>
      </c>
      <c r="F117" s="37" t="s">
        <v>398</v>
      </c>
      <c r="G117" s="30" t="s">
        <v>37</v>
      </c>
      <c r="H117" s="321" t="s">
        <v>54</v>
      </c>
      <c r="I117" s="294"/>
      <c r="J117" s="289" t="s">
        <v>1477</v>
      </c>
      <c r="K117" s="289"/>
      <c r="L117" s="291">
        <v>46007</v>
      </c>
      <c r="M117" s="290" t="s">
        <v>38</v>
      </c>
      <c r="N117" s="276" t="s">
        <v>1478</v>
      </c>
      <c r="O117" s="38" t="s">
        <v>1479</v>
      </c>
      <c r="P117" s="33" t="s">
        <v>1480</v>
      </c>
      <c r="Q117" s="245" t="s">
        <v>1481</v>
      </c>
      <c r="R117" s="30" t="s">
        <v>1482</v>
      </c>
      <c r="S117" s="32" t="s">
        <v>1483</v>
      </c>
      <c r="T117" s="32"/>
      <c r="U117" s="38" t="s">
        <v>1479</v>
      </c>
      <c r="V117" s="33" t="s">
        <v>1480</v>
      </c>
      <c r="W117" s="33"/>
      <c r="X117" s="30" t="s">
        <v>1484</v>
      </c>
      <c r="Y117" s="32" t="s">
        <v>1485</v>
      </c>
      <c r="Z117" s="30"/>
      <c r="AA117" s="55" t="s">
        <v>1486</v>
      </c>
      <c r="AB117" s="36" t="s">
        <v>1487</v>
      </c>
      <c r="AC117" s="36" t="s">
        <v>1488</v>
      </c>
      <c r="AD117" s="36" t="s">
        <v>1489</v>
      </c>
      <c r="AE117" s="36"/>
      <c r="AF117" s="36"/>
      <c r="AG117" s="36" t="s">
        <v>1474</v>
      </c>
      <c r="AH117" s="180" t="s">
        <v>1490</v>
      </c>
      <c r="AI117" s="36" t="s">
        <v>1477</v>
      </c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  <c r="BK117" s="36"/>
      <c r="BL117" s="36"/>
      <c r="BM117" s="36"/>
      <c r="BN117" s="36"/>
      <c r="BO117" s="36"/>
      <c r="BP117" s="36"/>
      <c r="BQ117" s="36"/>
    </row>
    <row r="118" spans="1:69" s="36" customFormat="1">
      <c r="A118" s="119" t="s">
        <v>1491</v>
      </c>
      <c r="B118" s="128" t="s">
        <v>57</v>
      </c>
      <c r="C118" s="128" t="s">
        <v>1492</v>
      </c>
      <c r="D118" s="150">
        <v>1500</v>
      </c>
      <c r="E118" s="125" t="s">
        <v>698</v>
      </c>
      <c r="F118" s="30" t="s">
        <v>698</v>
      </c>
      <c r="G118" s="30" t="s">
        <v>90</v>
      </c>
      <c r="H118" s="30" t="s">
        <v>54</v>
      </c>
      <c r="I118" s="289" t="s">
        <v>338</v>
      </c>
      <c r="J118" s="289" t="s">
        <v>1493</v>
      </c>
      <c r="K118" s="289" t="s">
        <v>1494</v>
      </c>
      <c r="L118" s="291">
        <v>46008</v>
      </c>
      <c r="M118" s="290" t="s">
        <v>289</v>
      </c>
      <c r="N118" s="277"/>
      <c r="O118" s="128" t="s">
        <v>1493</v>
      </c>
      <c r="P118" s="187" t="s">
        <v>1495</v>
      </c>
      <c r="Q118" s="225" t="s">
        <v>1496</v>
      </c>
      <c r="R118" s="255" t="s">
        <v>1497</v>
      </c>
      <c r="S118" s="148" t="s">
        <v>1498</v>
      </c>
      <c r="T118" s="200"/>
      <c r="U118" s="30"/>
      <c r="V118" s="30"/>
      <c r="W118" s="199"/>
      <c r="X118" s="29"/>
      <c r="Y118" s="33"/>
      <c r="Z118" s="265" t="s">
        <v>1499</v>
      </c>
      <c r="AA118" s="120" t="s">
        <v>1500</v>
      </c>
      <c r="AB118" s="129" t="s">
        <v>1501</v>
      </c>
      <c r="AC118" s="36" t="s">
        <v>1502</v>
      </c>
      <c r="AD118" s="138" t="s">
        <v>1503</v>
      </c>
      <c r="AE118" s="36" t="s">
        <v>53</v>
      </c>
      <c r="AG118" s="36" t="s">
        <v>1504</v>
      </c>
      <c r="AH118" s="36" t="s">
        <v>1505</v>
      </c>
      <c r="AI118" s="36" t="s">
        <v>1243</v>
      </c>
    </row>
    <row r="119" spans="1:69" s="36" customFormat="1">
      <c r="A119" s="142" t="s">
        <v>1506</v>
      </c>
      <c r="B119" s="129" t="s">
        <v>1507</v>
      </c>
      <c r="C119" s="139" t="s">
        <v>1508</v>
      </c>
      <c r="D119" s="152"/>
      <c r="E119" s="141" t="s">
        <v>698</v>
      </c>
      <c r="F119" s="48" t="s">
        <v>698</v>
      </c>
      <c r="G119" s="30" t="s">
        <v>90</v>
      </c>
      <c r="H119" s="30"/>
      <c r="I119" s="289"/>
      <c r="J119" s="289"/>
      <c r="K119" s="289"/>
      <c r="L119" s="291">
        <v>46007</v>
      </c>
      <c r="M119" s="290" t="s">
        <v>38</v>
      </c>
      <c r="N119" s="277" t="s">
        <v>264</v>
      </c>
      <c r="O119" s="139" t="s">
        <v>1509</v>
      </c>
      <c r="P119" s="138" t="s">
        <v>1510</v>
      </c>
      <c r="Q119" s="226">
        <v>8294235639</v>
      </c>
      <c r="R119" s="147" t="s">
        <v>1511</v>
      </c>
      <c r="S119" s="260" t="s">
        <v>1512</v>
      </c>
      <c r="T119" s="266">
        <v>8293405099</v>
      </c>
      <c r="U119" s="137" t="s">
        <v>1513</v>
      </c>
      <c r="V119" s="147" t="s">
        <v>1514</v>
      </c>
      <c r="W119" s="266">
        <v>8297558343</v>
      </c>
      <c r="X119" s="48"/>
      <c r="Y119" s="56"/>
      <c r="Z119" s="137" t="s">
        <v>1514</v>
      </c>
      <c r="AA119" s="139" t="s">
        <v>1515</v>
      </c>
      <c r="AB119" s="129" t="s">
        <v>1516</v>
      </c>
      <c r="AC119" s="129">
        <v>101033215</v>
      </c>
      <c r="AD119" s="136" t="s">
        <v>1517</v>
      </c>
      <c r="AE119" s="48" t="s">
        <v>53</v>
      </c>
      <c r="AF119" s="36" t="s">
        <v>60</v>
      </c>
      <c r="AG119" s="64" t="s">
        <v>1504</v>
      </c>
    </row>
    <row r="120" spans="1:69" s="48" customFormat="1">
      <c r="A120" s="119" t="s">
        <v>1518</v>
      </c>
      <c r="B120" s="128" t="s">
        <v>108</v>
      </c>
      <c r="C120" s="133" t="s">
        <v>1519</v>
      </c>
      <c r="D120" s="150">
        <v>1500</v>
      </c>
      <c r="E120" s="125" t="s">
        <v>698</v>
      </c>
      <c r="F120" s="30" t="s">
        <v>698</v>
      </c>
      <c r="G120" s="30" t="s">
        <v>90</v>
      </c>
      <c r="H120" s="30"/>
      <c r="I120" s="288" t="s">
        <v>1101</v>
      </c>
      <c r="J120" s="288" t="s">
        <v>1520</v>
      </c>
      <c r="K120" s="288"/>
      <c r="L120" s="292">
        <v>46007</v>
      </c>
      <c r="M120" s="293" t="s">
        <v>38</v>
      </c>
      <c r="N120" s="281" t="s">
        <v>1521</v>
      </c>
      <c r="O120" s="127" t="s">
        <v>1522</v>
      </c>
      <c r="P120" s="130" t="s">
        <v>1523</v>
      </c>
      <c r="Q120" s="220" t="s">
        <v>1524</v>
      </c>
      <c r="R120" s="128" t="s">
        <v>1525</v>
      </c>
      <c r="S120" s="130" t="s">
        <v>1526</v>
      </c>
      <c r="T120" s="215" t="s">
        <v>1527</v>
      </c>
      <c r="U120" s="147" t="s">
        <v>1528</v>
      </c>
      <c r="V120" s="260" t="s">
        <v>1529</v>
      </c>
      <c r="W120" s="266" t="s">
        <v>1530</v>
      </c>
      <c r="X120" s="38"/>
      <c r="Y120" s="39"/>
      <c r="Z120" s="124" t="s">
        <v>1523</v>
      </c>
      <c r="AA120" s="120" t="s">
        <v>1531</v>
      </c>
      <c r="AB120" s="186" t="s">
        <v>1532</v>
      </c>
      <c r="AC120" s="137" t="s">
        <v>1533</v>
      </c>
      <c r="AD120" s="136" t="s">
        <v>1534</v>
      </c>
      <c r="AE120" s="65" t="s">
        <v>53</v>
      </c>
      <c r="AF120" s="36"/>
      <c r="AG120" s="48" t="s">
        <v>1504</v>
      </c>
    </row>
    <row r="121" spans="1:69" s="36" customFormat="1">
      <c r="A121" s="119" t="s">
        <v>1535</v>
      </c>
      <c r="B121" s="127" t="s">
        <v>349</v>
      </c>
      <c r="C121" s="137" t="s">
        <v>1536</v>
      </c>
      <c r="D121" s="151">
        <v>2000</v>
      </c>
      <c r="E121" s="125" t="s">
        <v>1537</v>
      </c>
      <c r="F121" s="37" t="s">
        <v>212</v>
      </c>
      <c r="G121" s="30" t="s">
        <v>37</v>
      </c>
      <c r="H121" s="30"/>
      <c r="I121" s="288"/>
      <c r="J121" s="288"/>
      <c r="K121" s="288"/>
      <c r="L121" s="292">
        <v>46007</v>
      </c>
      <c r="M121" s="293" t="s">
        <v>38</v>
      </c>
      <c r="N121" s="284" t="s">
        <v>1538</v>
      </c>
      <c r="O121" s="255" t="s">
        <v>1539</v>
      </c>
      <c r="P121" s="256" t="s">
        <v>1540</v>
      </c>
      <c r="Q121" s="267" t="s">
        <v>1541</v>
      </c>
      <c r="R121" s="255" t="s">
        <v>1542</v>
      </c>
      <c r="S121" s="256" t="s">
        <v>1543</v>
      </c>
      <c r="T121" s="258" t="s">
        <v>1544</v>
      </c>
      <c r="U121" s="37"/>
      <c r="V121" s="37"/>
      <c r="W121" s="37"/>
      <c r="X121" s="42"/>
      <c r="Y121" s="52"/>
      <c r="Z121" s="137" t="s">
        <v>1540</v>
      </c>
      <c r="AA121" s="120" t="s">
        <v>1545</v>
      </c>
      <c r="AB121" s="139" t="s">
        <v>1546</v>
      </c>
      <c r="AC121" s="137" t="s">
        <v>1547</v>
      </c>
      <c r="AD121" s="144" t="s">
        <v>1548</v>
      </c>
      <c r="AE121" s="48" t="s">
        <v>53</v>
      </c>
      <c r="AG121" s="48" t="s">
        <v>1504</v>
      </c>
      <c r="AH121" s="48"/>
      <c r="AI121" s="48"/>
      <c r="AJ121" s="48"/>
      <c r="AK121" s="48"/>
      <c r="AL121" s="48"/>
      <c r="AM121" s="48"/>
      <c r="AN121" s="48"/>
      <c r="AO121" s="48"/>
      <c r="AP121" s="48"/>
      <c r="AQ121" s="48"/>
      <c r="AR121" s="48"/>
      <c r="AS121" s="48"/>
      <c r="AT121" s="48"/>
      <c r="AU121" s="48"/>
      <c r="AV121" s="48"/>
      <c r="AW121" s="48"/>
      <c r="AX121" s="48"/>
      <c r="AY121" s="48"/>
      <c r="AZ121" s="48"/>
      <c r="BA121" s="48"/>
      <c r="BB121" s="48"/>
      <c r="BC121" s="48"/>
      <c r="BD121" s="48"/>
      <c r="BE121" s="48"/>
      <c r="BF121" s="48"/>
      <c r="BG121" s="48"/>
      <c r="BH121" s="48"/>
      <c r="BI121" s="48"/>
      <c r="BJ121" s="48"/>
      <c r="BK121" s="48"/>
      <c r="BL121" s="48"/>
      <c r="BM121" s="48"/>
      <c r="BN121" s="48"/>
      <c r="BO121" s="48"/>
      <c r="BP121" s="48"/>
      <c r="BQ121" s="48"/>
    </row>
    <row r="122" spans="1:69" s="36" customFormat="1">
      <c r="A122" s="119" t="s">
        <v>1549</v>
      </c>
      <c r="B122" s="127" t="s">
        <v>349</v>
      </c>
      <c r="C122" s="127" t="s">
        <v>34</v>
      </c>
      <c r="D122" s="151">
        <v>2000</v>
      </c>
      <c r="E122" s="125" t="s">
        <v>36</v>
      </c>
      <c r="F122" s="43" t="s">
        <v>36</v>
      </c>
      <c r="G122" s="30" t="s">
        <v>37</v>
      </c>
      <c r="H122" s="30"/>
      <c r="I122" s="289"/>
      <c r="J122" s="289"/>
      <c r="K122" s="289"/>
      <c r="L122" s="291">
        <v>46007</v>
      </c>
      <c r="M122" s="290" t="s">
        <v>38</v>
      </c>
      <c r="N122" s="277" t="s">
        <v>1538</v>
      </c>
      <c r="O122" s="133" t="s">
        <v>1550</v>
      </c>
      <c r="P122" s="136" t="s">
        <v>1551</v>
      </c>
      <c r="Q122" s="247">
        <v>6646287555</v>
      </c>
      <c r="R122" s="133" t="s">
        <v>1552</v>
      </c>
      <c r="S122" s="130" t="s">
        <v>1553</v>
      </c>
      <c r="T122" s="130">
        <v>6641942762</v>
      </c>
      <c r="U122" s="137" t="s">
        <v>1554</v>
      </c>
      <c r="V122" s="137" t="s">
        <v>1555</v>
      </c>
      <c r="W122" s="137">
        <v>5554036057</v>
      </c>
      <c r="X122" s="42"/>
      <c r="Y122" s="52"/>
      <c r="Z122" s="130" t="s">
        <v>1556</v>
      </c>
      <c r="AA122" s="120" t="s">
        <v>1557</v>
      </c>
      <c r="AB122" s="129" t="s">
        <v>1558</v>
      </c>
      <c r="AC122" s="129" t="s">
        <v>1559</v>
      </c>
      <c r="AD122" s="140" t="s">
        <v>1560</v>
      </c>
      <c r="AE122" s="48" t="s">
        <v>53</v>
      </c>
      <c r="AF122" s="48"/>
      <c r="AG122" s="36" t="s">
        <v>1561</v>
      </c>
    </row>
    <row r="123" spans="1:69" s="48" customFormat="1">
      <c r="A123" s="75" t="s">
        <v>1562</v>
      </c>
      <c r="B123" s="38" t="s">
        <v>157</v>
      </c>
      <c r="C123" s="38"/>
      <c r="D123" s="150">
        <v>1500</v>
      </c>
      <c r="E123" s="109" t="s">
        <v>89</v>
      </c>
      <c r="F123" s="37" t="s">
        <v>698</v>
      </c>
      <c r="G123" s="30" t="s">
        <v>90</v>
      </c>
      <c r="H123" s="30"/>
      <c r="I123" s="289" t="s">
        <v>60</v>
      </c>
      <c r="J123" s="289" t="s">
        <v>1563</v>
      </c>
      <c r="K123" s="289"/>
      <c r="L123" s="291">
        <v>46007</v>
      </c>
      <c r="M123" s="290" t="s">
        <v>38</v>
      </c>
      <c r="N123" s="276" t="s">
        <v>1564</v>
      </c>
      <c r="O123" s="38" t="s">
        <v>1565</v>
      </c>
      <c r="P123" s="33" t="s">
        <v>1566</v>
      </c>
      <c r="Q123" s="221"/>
      <c r="R123" s="37"/>
      <c r="S123" s="37"/>
      <c r="T123" s="195"/>
      <c r="U123" s="37"/>
      <c r="V123" s="37"/>
      <c r="W123" s="195"/>
      <c r="X123" s="29"/>
      <c r="Y123" s="33"/>
      <c r="Z123" s="30"/>
      <c r="AA123" s="55" t="s">
        <v>1567</v>
      </c>
      <c r="AB123" s="36" t="s">
        <v>1568</v>
      </c>
      <c r="AC123" s="36"/>
      <c r="AD123" s="36" t="s">
        <v>1569</v>
      </c>
      <c r="AE123" s="36"/>
      <c r="AG123" s="64" t="s">
        <v>1570</v>
      </c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  <c r="BK123" s="36"/>
      <c r="BL123" s="36"/>
      <c r="BM123" s="36"/>
      <c r="BN123" s="36"/>
      <c r="BO123" s="36"/>
      <c r="BP123" s="36"/>
      <c r="BQ123" s="36"/>
    </row>
    <row r="124" spans="1:69" s="42" customFormat="1" ht="86.4">
      <c r="A124" s="75" t="s">
        <v>1571</v>
      </c>
      <c r="B124" s="38" t="s">
        <v>1572</v>
      </c>
      <c r="C124" s="38"/>
      <c r="D124" s="150">
        <v>2500</v>
      </c>
      <c r="E124" s="109" t="s">
        <v>131</v>
      </c>
      <c r="F124" s="30" t="s">
        <v>131</v>
      </c>
      <c r="G124" s="30" t="s">
        <v>37</v>
      </c>
      <c r="H124" s="30"/>
      <c r="I124" s="288"/>
      <c r="J124" s="288"/>
      <c r="K124" s="288"/>
      <c r="L124" s="293"/>
      <c r="M124" s="293"/>
      <c r="N124" s="281"/>
      <c r="O124" s="108" t="s">
        <v>1573</v>
      </c>
      <c r="P124" s="31" t="s">
        <v>1574</v>
      </c>
      <c r="Q124" s="245"/>
      <c r="R124" s="37"/>
      <c r="S124" s="37"/>
      <c r="T124" s="37"/>
      <c r="U124" s="37"/>
      <c r="V124" s="37"/>
      <c r="W124" s="37"/>
      <c r="X124" s="29"/>
      <c r="Y124" s="33"/>
      <c r="Z124" s="30"/>
      <c r="AA124" s="55" t="s">
        <v>1575</v>
      </c>
      <c r="AB124" s="36" t="s">
        <v>1576</v>
      </c>
      <c r="AC124" s="36" t="s">
        <v>1577</v>
      </c>
      <c r="AD124" s="36" t="s">
        <v>1578</v>
      </c>
      <c r="AE124" s="36"/>
      <c r="AF124" s="36"/>
      <c r="AG124" s="48" t="s">
        <v>1579</v>
      </c>
      <c r="AH124" s="48"/>
      <c r="AI124" s="48"/>
      <c r="AJ124" s="48"/>
      <c r="AK124" s="48"/>
      <c r="AL124" s="48"/>
      <c r="AM124" s="48"/>
      <c r="AN124" s="48"/>
      <c r="AO124" s="48"/>
      <c r="AP124" s="48"/>
      <c r="AQ124" s="48"/>
      <c r="AR124" s="48"/>
      <c r="AS124" s="48"/>
      <c r="AT124" s="48"/>
      <c r="AU124" s="48"/>
      <c r="AV124" s="48"/>
      <c r="AW124" s="48"/>
      <c r="AX124" s="48"/>
      <c r="AY124" s="48"/>
      <c r="AZ124" s="48"/>
      <c r="BA124" s="48"/>
      <c r="BB124" s="48"/>
      <c r="BC124" s="48"/>
      <c r="BD124" s="48"/>
      <c r="BE124" s="48"/>
      <c r="BF124" s="48"/>
      <c r="BG124" s="48"/>
      <c r="BH124" s="48"/>
      <c r="BI124" s="48"/>
      <c r="BJ124" s="48"/>
      <c r="BK124" s="48"/>
      <c r="BL124" s="48"/>
      <c r="BM124" s="48"/>
      <c r="BN124" s="48"/>
      <c r="BO124" s="48"/>
      <c r="BP124" s="48"/>
      <c r="BQ124" s="48"/>
    </row>
    <row r="125" spans="1:69" s="42" customFormat="1" ht="28.8">
      <c r="A125" s="75" t="s">
        <v>1580</v>
      </c>
      <c r="B125" s="38" t="s">
        <v>937</v>
      </c>
      <c r="C125" s="38"/>
      <c r="D125" s="150">
        <v>2500</v>
      </c>
      <c r="E125" s="109" t="s">
        <v>585</v>
      </c>
      <c r="F125" s="37" t="s">
        <v>1270</v>
      </c>
      <c r="G125" s="30" t="s">
        <v>37</v>
      </c>
      <c r="H125" s="30"/>
      <c r="I125" s="289"/>
      <c r="J125" s="289"/>
      <c r="K125" s="289"/>
      <c r="L125" s="291">
        <v>46007</v>
      </c>
      <c r="M125" s="290" t="s">
        <v>38</v>
      </c>
      <c r="N125" s="277" t="s">
        <v>1581</v>
      </c>
      <c r="O125" s="38" t="s">
        <v>1582</v>
      </c>
      <c r="P125" s="33" t="s">
        <v>1583</v>
      </c>
      <c r="Q125" s="245"/>
      <c r="R125" s="37"/>
      <c r="S125" s="37"/>
      <c r="T125" s="37"/>
      <c r="U125" s="37"/>
      <c r="V125" s="37"/>
      <c r="W125" s="37"/>
      <c r="X125" s="29"/>
      <c r="Y125" s="33"/>
      <c r="Z125" s="32" t="s">
        <v>1584</v>
      </c>
      <c r="AA125" s="55" t="s">
        <v>1585</v>
      </c>
      <c r="AB125" s="36" t="s">
        <v>1586</v>
      </c>
      <c r="AC125" s="36" t="s">
        <v>1587</v>
      </c>
      <c r="AD125" s="36" t="s">
        <v>1588</v>
      </c>
      <c r="AE125" s="36"/>
      <c r="AF125" s="36"/>
      <c r="AG125" s="36" t="s">
        <v>1589</v>
      </c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  <c r="BI125" s="36"/>
      <c r="BJ125" s="36"/>
      <c r="BK125" s="36"/>
      <c r="BL125" s="36"/>
      <c r="BM125" s="36"/>
      <c r="BN125" s="36"/>
      <c r="BO125" s="36"/>
      <c r="BP125" s="36"/>
      <c r="BQ125" s="36"/>
    </row>
    <row r="126" spans="1:69" s="29" customFormat="1">
      <c r="A126" s="119" t="s">
        <v>1590</v>
      </c>
      <c r="B126" s="128" t="s">
        <v>436</v>
      </c>
      <c r="C126" s="128" t="s">
        <v>436</v>
      </c>
      <c r="D126" s="151">
        <v>2500</v>
      </c>
      <c r="E126" s="125" t="s">
        <v>698</v>
      </c>
      <c r="F126" s="43" t="s">
        <v>698</v>
      </c>
      <c r="G126" s="43" t="s">
        <v>90</v>
      </c>
      <c r="H126" s="43" t="s">
        <v>54</v>
      </c>
      <c r="I126" s="289" t="s">
        <v>60</v>
      </c>
      <c r="J126" s="288" t="s">
        <v>1591</v>
      </c>
      <c r="K126" s="288"/>
      <c r="L126" s="292">
        <v>46007</v>
      </c>
      <c r="M126" s="293" t="s">
        <v>38</v>
      </c>
      <c r="N126" s="281" t="s">
        <v>1592</v>
      </c>
      <c r="O126" s="57" t="s">
        <v>1593</v>
      </c>
      <c r="P126" s="52" t="s">
        <v>1594</v>
      </c>
      <c r="Q126" s="224" t="s">
        <v>1595</v>
      </c>
      <c r="R126" s="57"/>
      <c r="S126" s="52"/>
      <c r="T126" s="216"/>
      <c r="U126" s="43"/>
      <c r="V126" s="43"/>
      <c r="W126" s="202"/>
      <c r="X126" s="42"/>
      <c r="Y126" s="52"/>
      <c r="Z126" s="304" t="s">
        <v>1596</v>
      </c>
      <c r="AA126" s="120" t="s">
        <v>1597</v>
      </c>
      <c r="AB126" s="139" t="s">
        <v>1598</v>
      </c>
      <c r="AC126" s="129" t="s">
        <v>1599</v>
      </c>
      <c r="AD126" s="304" t="s">
        <v>1600</v>
      </c>
      <c r="AE126" s="48" t="s">
        <v>53</v>
      </c>
      <c r="AF126" s="48" t="s">
        <v>1601</v>
      </c>
      <c r="AG126" s="48" t="s">
        <v>1210</v>
      </c>
      <c r="AH126" s="180" t="s">
        <v>1602</v>
      </c>
      <c r="AI126" s="48" t="s">
        <v>1591</v>
      </c>
      <c r="AJ126" s="48"/>
      <c r="AK126" s="48"/>
      <c r="AL126" s="48"/>
      <c r="AM126" s="48"/>
      <c r="AN126" s="48"/>
      <c r="AO126" s="48"/>
      <c r="AP126" s="48"/>
      <c r="AQ126" s="48"/>
      <c r="AR126" s="48"/>
      <c r="AS126" s="48"/>
      <c r="AT126" s="48"/>
      <c r="AU126" s="48"/>
      <c r="AV126" s="48"/>
      <c r="AW126" s="48"/>
      <c r="AX126" s="48"/>
      <c r="AY126" s="48"/>
      <c r="AZ126" s="48"/>
      <c r="BA126" s="48"/>
      <c r="BB126" s="48"/>
      <c r="BC126" s="48"/>
      <c r="BD126" s="48"/>
      <c r="BE126" s="48"/>
      <c r="BF126" s="48"/>
      <c r="BG126" s="48"/>
      <c r="BH126" s="48"/>
      <c r="BI126" s="48"/>
      <c r="BJ126" s="48"/>
      <c r="BK126" s="48"/>
      <c r="BL126" s="48"/>
      <c r="BM126" s="48"/>
      <c r="BN126" s="48"/>
      <c r="BO126" s="48"/>
      <c r="BP126" s="48"/>
      <c r="BQ126" s="48"/>
    </row>
    <row r="127" spans="1:69" s="29" customFormat="1" ht="28.8">
      <c r="A127" s="119" t="s">
        <v>1603</v>
      </c>
      <c r="B127" s="128" t="s">
        <v>436</v>
      </c>
      <c r="C127" s="133" t="s">
        <v>1604</v>
      </c>
      <c r="D127" s="150">
        <v>2000</v>
      </c>
      <c r="E127" s="125" t="s">
        <v>1605</v>
      </c>
      <c r="F127" s="30" t="s">
        <v>36</v>
      </c>
      <c r="G127" s="30" t="s">
        <v>37</v>
      </c>
      <c r="H127" s="30" t="s">
        <v>54</v>
      </c>
      <c r="I127" s="289" t="s">
        <v>60</v>
      </c>
      <c r="J127" s="288" t="s">
        <v>1606</v>
      </c>
      <c r="K127" s="288"/>
      <c r="L127" s="292">
        <v>46007</v>
      </c>
      <c r="M127" s="293" t="s">
        <v>38</v>
      </c>
      <c r="N127" s="280" t="s">
        <v>1607</v>
      </c>
      <c r="O127" s="128" t="s">
        <v>1608</v>
      </c>
      <c r="P127" s="135" t="s">
        <v>1609</v>
      </c>
      <c r="Q127" s="248" t="s">
        <v>1610</v>
      </c>
      <c r="R127" s="307" t="s">
        <v>1611</v>
      </c>
      <c r="S127" s="308" t="s">
        <v>1612</v>
      </c>
      <c r="T127" s="309" t="s">
        <v>1613</v>
      </c>
      <c r="U127" s="29" t="s">
        <v>1614</v>
      </c>
      <c r="V127" s="58" t="s">
        <v>1615</v>
      </c>
      <c r="W127" s="58"/>
      <c r="Y127" s="33"/>
      <c r="Z127" s="30"/>
      <c r="AA127" s="120" t="s">
        <v>1616</v>
      </c>
      <c r="AB127" s="129" t="s">
        <v>1617</v>
      </c>
      <c r="AC127" s="129" t="s">
        <v>1618</v>
      </c>
      <c r="AD127" s="136" t="s">
        <v>1619</v>
      </c>
      <c r="AE127" s="36" t="s">
        <v>53</v>
      </c>
      <c r="AF127" s="36"/>
      <c r="AG127" s="48" t="s">
        <v>1620</v>
      </c>
      <c r="AH127" s="180" t="s">
        <v>1621</v>
      </c>
      <c r="AI127" s="48" t="s">
        <v>1622</v>
      </c>
      <c r="AJ127" s="48"/>
      <c r="AK127" s="48"/>
      <c r="AL127" s="48"/>
      <c r="AM127" s="48"/>
      <c r="AN127" s="48"/>
      <c r="AO127" s="48"/>
      <c r="AP127" s="48"/>
      <c r="AQ127" s="48"/>
      <c r="AR127" s="48"/>
      <c r="AS127" s="48"/>
      <c r="AT127" s="48"/>
      <c r="AU127" s="48"/>
      <c r="AV127" s="48"/>
      <c r="AW127" s="48"/>
      <c r="AX127" s="48"/>
      <c r="AY127" s="48"/>
      <c r="AZ127" s="48"/>
      <c r="BA127" s="48"/>
      <c r="BB127" s="48"/>
      <c r="BC127" s="48"/>
      <c r="BD127" s="48"/>
      <c r="BE127" s="48"/>
      <c r="BF127" s="48"/>
      <c r="BG127" s="48"/>
      <c r="BH127" s="48"/>
      <c r="BI127" s="48"/>
      <c r="BJ127" s="48"/>
      <c r="BK127" s="48"/>
      <c r="BL127" s="48"/>
      <c r="BM127" s="48"/>
      <c r="BN127" s="48"/>
      <c r="BO127" s="48"/>
      <c r="BP127" s="48"/>
      <c r="BQ127" s="48"/>
    </row>
    <row r="128" spans="1:69" s="29" customFormat="1" ht="28.8">
      <c r="A128" s="75" t="s">
        <v>1623</v>
      </c>
      <c r="B128" s="29" t="s">
        <v>349</v>
      </c>
      <c r="D128" s="150">
        <v>2500</v>
      </c>
      <c r="E128" s="109" t="s">
        <v>585</v>
      </c>
      <c r="F128" s="37" t="s">
        <v>1270</v>
      </c>
      <c r="G128" s="30" t="s">
        <v>37</v>
      </c>
      <c r="H128" s="30"/>
      <c r="I128" s="288" t="s">
        <v>1101</v>
      </c>
      <c r="J128" s="288" t="s">
        <v>1624</v>
      </c>
      <c r="K128" s="288" t="s">
        <v>1625</v>
      </c>
      <c r="L128" s="292">
        <v>46007</v>
      </c>
      <c r="M128" s="293" t="s">
        <v>161</v>
      </c>
      <c r="N128" s="281"/>
      <c r="O128" s="38" t="s">
        <v>1626</v>
      </c>
      <c r="P128" s="33" t="s">
        <v>1627</v>
      </c>
      <c r="Q128" s="245"/>
      <c r="R128" s="37"/>
      <c r="S128" s="37"/>
      <c r="T128" s="37"/>
      <c r="U128" s="37"/>
      <c r="V128" s="37"/>
      <c r="W128" s="37"/>
      <c r="Y128" s="33"/>
      <c r="Z128" s="180"/>
      <c r="AA128" s="55" t="s">
        <v>1628</v>
      </c>
      <c r="AB128" s="36" t="s">
        <v>1629</v>
      </c>
      <c r="AC128" s="36"/>
      <c r="AD128" s="36" t="s">
        <v>1630</v>
      </c>
      <c r="AE128" s="36"/>
      <c r="AF128" s="48"/>
      <c r="AG128" s="48" t="s">
        <v>1631</v>
      </c>
      <c r="AH128" s="48"/>
      <c r="AI128" s="48"/>
      <c r="AJ128" s="48"/>
      <c r="AK128" s="48"/>
      <c r="AL128" s="48"/>
      <c r="AM128" s="48"/>
      <c r="AN128" s="48"/>
      <c r="AO128" s="48"/>
      <c r="AP128" s="48"/>
      <c r="AQ128" s="48"/>
      <c r="AR128" s="48"/>
      <c r="AS128" s="48"/>
      <c r="AT128" s="48"/>
      <c r="AU128" s="48"/>
      <c r="AV128" s="48"/>
      <c r="AW128" s="48"/>
      <c r="AX128" s="48"/>
      <c r="AY128" s="48"/>
      <c r="AZ128" s="48"/>
      <c r="BA128" s="48"/>
      <c r="BB128" s="48"/>
      <c r="BC128" s="48"/>
      <c r="BD128" s="48"/>
      <c r="BE128" s="48"/>
      <c r="BF128" s="48"/>
      <c r="BG128" s="48"/>
      <c r="BH128" s="48"/>
      <c r="BI128" s="48"/>
      <c r="BJ128" s="48"/>
      <c r="BK128" s="48"/>
      <c r="BL128" s="48"/>
      <c r="BM128" s="48"/>
      <c r="BN128" s="48"/>
      <c r="BO128" s="48"/>
      <c r="BP128" s="48"/>
      <c r="BQ128" s="48"/>
    </row>
    <row r="129" spans="1:69" s="48" customFormat="1" ht="28.8">
      <c r="A129" s="119" t="s">
        <v>1632</v>
      </c>
      <c r="B129" s="128" t="s">
        <v>436</v>
      </c>
      <c r="C129" s="128" t="s">
        <v>1633</v>
      </c>
      <c r="D129" s="150">
        <v>2000</v>
      </c>
      <c r="E129" s="137" t="s">
        <v>1634</v>
      </c>
      <c r="F129" s="37" t="s">
        <v>1635</v>
      </c>
      <c r="G129" s="30" t="s">
        <v>37</v>
      </c>
      <c r="H129" s="30" t="s">
        <v>54</v>
      </c>
      <c r="I129" s="289" t="s">
        <v>60</v>
      </c>
      <c r="J129" s="288" t="s">
        <v>1636</v>
      </c>
      <c r="K129" s="288"/>
      <c r="L129" s="292">
        <v>46007</v>
      </c>
      <c r="M129" s="293" t="s">
        <v>38</v>
      </c>
      <c r="N129" s="280" t="s">
        <v>1637</v>
      </c>
      <c r="O129" s="128" t="s">
        <v>1638</v>
      </c>
      <c r="P129" s="130" t="s">
        <v>1639</v>
      </c>
      <c r="Q129" s="247" t="s">
        <v>1640</v>
      </c>
      <c r="R129" s="126" t="s">
        <v>1641</v>
      </c>
      <c r="S129" s="37"/>
      <c r="T129" s="37"/>
      <c r="U129" s="37"/>
      <c r="V129" s="37"/>
      <c r="W129" s="37"/>
      <c r="X129" s="29"/>
      <c r="Y129" s="33"/>
      <c r="Z129" s="137" t="s">
        <v>1639</v>
      </c>
      <c r="AA129" s="120" t="s">
        <v>1642</v>
      </c>
      <c r="AB129" s="129" t="s">
        <v>1643</v>
      </c>
      <c r="AC129" s="137" t="s">
        <v>1644</v>
      </c>
      <c r="AD129" s="136" t="s">
        <v>1645</v>
      </c>
      <c r="AE129" s="36" t="s">
        <v>53</v>
      </c>
      <c r="AG129" s="48" t="s">
        <v>284</v>
      </c>
    </row>
    <row r="130" spans="1:69" s="48" customFormat="1">
      <c r="A130" s="75" t="s">
        <v>1646</v>
      </c>
      <c r="B130" s="38" t="s">
        <v>157</v>
      </c>
      <c r="C130" s="38"/>
      <c r="D130" s="150">
        <v>2500</v>
      </c>
      <c r="E130" s="109" t="s">
        <v>89</v>
      </c>
      <c r="F130" s="30" t="s">
        <v>89</v>
      </c>
      <c r="G130" s="30" t="s">
        <v>90</v>
      </c>
      <c r="H130" s="30"/>
      <c r="I130" s="289" t="s">
        <v>60</v>
      </c>
      <c r="J130" s="289" t="s">
        <v>1647</v>
      </c>
      <c r="K130" s="289" t="s">
        <v>1648</v>
      </c>
      <c r="L130" s="291">
        <v>46006</v>
      </c>
      <c r="M130" s="293" t="s">
        <v>289</v>
      </c>
      <c r="N130" s="301" t="s">
        <v>1649</v>
      </c>
      <c r="O130" s="38" t="s">
        <v>1650</v>
      </c>
      <c r="P130" s="31" t="s">
        <v>1651</v>
      </c>
      <c r="Q130" s="217" t="s">
        <v>1652</v>
      </c>
      <c r="R130" s="38"/>
      <c r="S130" s="33"/>
      <c r="T130" s="196"/>
      <c r="U130" s="30"/>
      <c r="V130" s="30"/>
      <c r="W130" s="199"/>
      <c r="X130" s="29"/>
      <c r="Y130" s="33"/>
      <c r="Z130" s="30"/>
      <c r="AA130" s="55" t="s">
        <v>1653</v>
      </c>
      <c r="AB130" s="36" t="s">
        <v>1654</v>
      </c>
      <c r="AC130" s="36"/>
      <c r="AD130" s="36" t="s">
        <v>1655</v>
      </c>
      <c r="AE130" s="36"/>
      <c r="AG130" s="36" t="s">
        <v>1656</v>
      </c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  <c r="BK130" s="36"/>
      <c r="BL130" s="36"/>
      <c r="BM130" s="36"/>
      <c r="BN130" s="36"/>
      <c r="BO130" s="36"/>
      <c r="BP130" s="36"/>
      <c r="BQ130" s="36"/>
    </row>
    <row r="131" spans="1:69" s="36" customFormat="1">
      <c r="A131" s="75" t="s">
        <v>1657</v>
      </c>
      <c r="B131" s="38" t="s">
        <v>1658</v>
      </c>
      <c r="C131" s="38"/>
      <c r="D131" s="150">
        <v>1500</v>
      </c>
      <c r="E131" s="109" t="s">
        <v>89</v>
      </c>
      <c r="F131" s="30" t="s">
        <v>89</v>
      </c>
      <c r="G131" s="30" t="s">
        <v>90</v>
      </c>
      <c r="H131" s="30"/>
      <c r="I131" s="289" t="s">
        <v>338</v>
      </c>
      <c r="J131" s="289" t="s">
        <v>1659</v>
      </c>
      <c r="K131" s="289"/>
      <c r="L131" s="291">
        <v>46007</v>
      </c>
      <c r="M131" s="293" t="s">
        <v>289</v>
      </c>
      <c r="N131" s="277"/>
      <c r="O131" s="38" t="s">
        <v>1660</v>
      </c>
      <c r="P131" s="31" t="s">
        <v>1661</v>
      </c>
      <c r="Q131" s="221" t="s">
        <v>1662</v>
      </c>
      <c r="R131" s="38"/>
      <c r="S131" s="31"/>
      <c r="T131" s="200"/>
      <c r="U131" s="30"/>
      <c r="V131" s="30"/>
      <c r="W131" s="199"/>
      <c r="X131" s="29"/>
      <c r="Y131" s="33"/>
      <c r="Z131" s="30"/>
      <c r="AA131" s="55" t="s">
        <v>1663</v>
      </c>
      <c r="AB131" s="36" t="s">
        <v>1664</v>
      </c>
      <c r="AD131" s="36" t="s">
        <v>1665</v>
      </c>
      <c r="AF131" s="48"/>
    </row>
    <row r="132" spans="1:69" s="36" customFormat="1">
      <c r="A132" s="142" t="s">
        <v>1666</v>
      </c>
      <c r="B132" s="129" t="s">
        <v>336</v>
      </c>
      <c r="C132" s="129" t="s">
        <v>336</v>
      </c>
      <c r="D132" s="153">
        <v>2500</v>
      </c>
      <c r="E132" s="125" t="s">
        <v>89</v>
      </c>
      <c r="F132" s="30" t="s">
        <v>89</v>
      </c>
      <c r="G132" s="30" t="s">
        <v>90</v>
      </c>
      <c r="H132" s="30"/>
      <c r="I132" s="289" t="s">
        <v>60</v>
      </c>
      <c r="J132" s="288" t="s">
        <v>1667</v>
      </c>
      <c r="K132" s="288" t="s">
        <v>1668</v>
      </c>
      <c r="L132" s="293" t="s">
        <v>1074</v>
      </c>
      <c r="M132" s="293" t="s">
        <v>1075</v>
      </c>
      <c r="N132" s="281"/>
      <c r="O132" s="129" t="s">
        <v>1669</v>
      </c>
      <c r="P132" s="138" t="s">
        <v>1670</v>
      </c>
      <c r="Q132" s="226" t="s">
        <v>1671</v>
      </c>
      <c r="R132" s="129"/>
      <c r="S132" s="143"/>
      <c r="T132" s="212"/>
      <c r="U132" s="48"/>
      <c r="V132" s="40"/>
      <c r="W132" s="207"/>
      <c r="X132" s="48"/>
      <c r="Y132" s="48"/>
      <c r="Z132" s="137" t="s">
        <v>1670</v>
      </c>
      <c r="AA132" s="139" t="s">
        <v>1672</v>
      </c>
      <c r="AB132" s="137">
        <v>3155015594</v>
      </c>
      <c r="AC132" s="137">
        <v>8600377079</v>
      </c>
      <c r="AD132" s="136" t="s">
        <v>1673</v>
      </c>
      <c r="AE132" s="48" t="s">
        <v>53</v>
      </c>
      <c r="AF132" s="36" t="s">
        <v>54</v>
      </c>
      <c r="AG132" s="48" t="s">
        <v>334</v>
      </c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48"/>
      <c r="AW132" s="48"/>
      <c r="AX132" s="48"/>
      <c r="AY132" s="48"/>
      <c r="AZ132" s="48"/>
      <c r="BA132" s="48"/>
      <c r="BB132" s="48"/>
      <c r="BC132" s="48"/>
      <c r="BD132" s="48"/>
      <c r="BE132" s="48"/>
      <c r="BF132" s="48"/>
      <c r="BG132" s="48"/>
      <c r="BH132" s="48"/>
      <c r="BI132" s="48"/>
      <c r="BJ132" s="48"/>
      <c r="BK132" s="48"/>
      <c r="BL132" s="48"/>
      <c r="BM132" s="48"/>
      <c r="BN132" s="48"/>
      <c r="BO132" s="48"/>
      <c r="BP132" s="48"/>
      <c r="BQ132" s="48"/>
    </row>
    <row r="133" spans="1:69" s="36" customFormat="1">
      <c r="A133" s="77" t="s">
        <v>1674</v>
      </c>
      <c r="B133" s="57" t="s">
        <v>336</v>
      </c>
      <c r="C133" s="57"/>
      <c r="D133" s="151">
        <v>2500</v>
      </c>
      <c r="E133" s="110" t="s">
        <v>89</v>
      </c>
      <c r="F133" s="43" t="s">
        <v>89</v>
      </c>
      <c r="G133" s="30" t="s">
        <v>90</v>
      </c>
      <c r="H133" s="30"/>
      <c r="I133" s="288"/>
      <c r="J133" s="288"/>
      <c r="K133" s="288"/>
      <c r="L133" s="293"/>
      <c r="M133" s="293" t="s">
        <v>289</v>
      </c>
      <c r="N133" s="281"/>
      <c r="O133" s="57" t="s">
        <v>1675</v>
      </c>
      <c r="P133" s="52" t="s">
        <v>1676</v>
      </c>
      <c r="Q133" s="224"/>
      <c r="R133" s="37"/>
      <c r="S133" s="37"/>
      <c r="T133" s="195"/>
      <c r="U133" s="37" t="s">
        <v>1677</v>
      </c>
      <c r="V133" s="194" t="s">
        <v>1678</v>
      </c>
      <c r="W133" s="195" t="s">
        <v>1679</v>
      </c>
      <c r="X133" s="42"/>
      <c r="Y133" s="52"/>
      <c r="Z133" s="43"/>
      <c r="AA133" s="53" t="s">
        <v>1680</v>
      </c>
      <c r="AB133" s="48" t="s">
        <v>1681</v>
      </c>
      <c r="AC133" s="48" t="s">
        <v>1682</v>
      </c>
      <c r="AD133" s="48" t="s">
        <v>1683</v>
      </c>
      <c r="AE133" s="48"/>
      <c r="AG133" s="36" t="s">
        <v>1656</v>
      </c>
      <c r="AH133" s="180" t="s">
        <v>1684</v>
      </c>
      <c r="AI133" s="48" t="s">
        <v>1685</v>
      </c>
      <c r="AJ133" s="48"/>
      <c r="AK133" s="48"/>
      <c r="AL133" s="48"/>
      <c r="AM133" s="48"/>
      <c r="AN133" s="48"/>
      <c r="AO133" s="48"/>
      <c r="AP133" s="48"/>
      <c r="AQ133" s="48"/>
      <c r="AR133" s="48"/>
      <c r="AS133" s="48"/>
      <c r="AT133" s="48"/>
      <c r="AU133" s="48"/>
      <c r="AV133" s="48"/>
      <c r="AW133" s="48"/>
      <c r="AX133" s="48"/>
      <c r="AY133" s="48"/>
      <c r="AZ133" s="48"/>
      <c r="BA133" s="48"/>
      <c r="BB133" s="48"/>
      <c r="BC133" s="48"/>
      <c r="BD133" s="48"/>
      <c r="BE133" s="48"/>
      <c r="BF133" s="48"/>
      <c r="BG133" s="48"/>
      <c r="BH133" s="48"/>
      <c r="BI133" s="48"/>
      <c r="BJ133" s="48"/>
      <c r="BK133" s="48"/>
      <c r="BL133" s="48"/>
      <c r="BM133" s="48"/>
      <c r="BN133" s="48"/>
      <c r="BO133" s="48"/>
      <c r="BP133" s="48"/>
      <c r="BQ133" s="48"/>
    </row>
    <row r="134" spans="1:69" s="36" customFormat="1">
      <c r="A134" s="119" t="s">
        <v>1686</v>
      </c>
      <c r="B134" s="128" t="s">
        <v>937</v>
      </c>
      <c r="C134" s="316" t="s">
        <v>937</v>
      </c>
      <c r="D134" s="150">
        <v>1500</v>
      </c>
      <c r="E134" s="125" t="s">
        <v>89</v>
      </c>
      <c r="F134" s="30" t="s">
        <v>89</v>
      </c>
      <c r="G134" s="30" t="s">
        <v>90</v>
      </c>
      <c r="H134" s="30"/>
      <c r="I134" s="289"/>
      <c r="J134" s="289"/>
      <c r="K134" s="289"/>
      <c r="L134" s="291">
        <v>46007</v>
      </c>
      <c r="M134" s="290" t="s">
        <v>38</v>
      </c>
      <c r="N134" s="276" t="s">
        <v>1687</v>
      </c>
      <c r="O134" s="38" t="s">
        <v>1688</v>
      </c>
      <c r="P134" s="31" t="s">
        <v>1689</v>
      </c>
      <c r="Q134" s="317" t="s">
        <v>1690</v>
      </c>
      <c r="R134" s="310" t="s">
        <v>1691</v>
      </c>
      <c r="S134" s="311" t="s">
        <v>1692</v>
      </c>
      <c r="T134" s="309" t="s">
        <v>1693</v>
      </c>
      <c r="U134" s="310" t="s">
        <v>1694</v>
      </c>
      <c r="V134" s="311" t="s">
        <v>1695</v>
      </c>
      <c r="W134" s="309">
        <v>8098539957</v>
      </c>
      <c r="X134" s="29"/>
      <c r="Y134" s="33"/>
      <c r="Z134" s="304" t="s">
        <v>1696</v>
      </c>
      <c r="AA134" s="120" t="s">
        <v>1697</v>
      </c>
      <c r="AB134" s="129" t="s">
        <v>1698</v>
      </c>
      <c r="AC134" s="129">
        <v>130273822</v>
      </c>
      <c r="AD134" s="136" t="s">
        <v>1699</v>
      </c>
      <c r="AE134" s="36" t="s">
        <v>53</v>
      </c>
      <c r="AF134" s="48"/>
      <c r="AG134" s="64" t="s">
        <v>1700</v>
      </c>
    </row>
    <row r="135" spans="1:69" s="36" customFormat="1" ht="28.8">
      <c r="A135" s="75" t="s">
        <v>1701</v>
      </c>
      <c r="B135" s="38" t="s">
        <v>336</v>
      </c>
      <c r="C135" s="313" t="s">
        <v>1702</v>
      </c>
      <c r="D135" s="150">
        <v>1500</v>
      </c>
      <c r="E135" s="109" t="s">
        <v>89</v>
      </c>
      <c r="F135" s="30" t="s">
        <v>89</v>
      </c>
      <c r="G135" s="30" t="s">
        <v>90</v>
      </c>
      <c r="H135" s="30"/>
      <c r="I135" s="289"/>
      <c r="J135" s="289"/>
      <c r="K135" s="289"/>
      <c r="L135" s="290"/>
      <c r="M135" s="303" t="s">
        <v>289</v>
      </c>
      <c r="N135" s="277"/>
      <c r="O135" s="30" t="s">
        <v>1703</v>
      </c>
      <c r="P135" s="32" t="s">
        <v>1704</v>
      </c>
      <c r="Q135" s="227"/>
      <c r="R135" s="30"/>
      <c r="S135" s="32"/>
      <c r="T135" s="198"/>
      <c r="U135" s="30" t="s">
        <v>1705</v>
      </c>
      <c r="V135" s="32" t="s">
        <v>1706</v>
      </c>
      <c r="W135" s="198"/>
      <c r="X135" s="29"/>
      <c r="Y135" s="31"/>
      <c r="Z135" s="32" t="s">
        <v>1707</v>
      </c>
      <c r="AA135" s="55" t="s">
        <v>1708</v>
      </c>
      <c r="AB135" s="36">
        <v>6017425662</v>
      </c>
      <c r="AC135" s="36" t="s">
        <v>1709</v>
      </c>
      <c r="AF135" s="48"/>
      <c r="AG135" s="36" t="s">
        <v>1710</v>
      </c>
    </row>
    <row r="136" spans="1:69" s="36" customFormat="1">
      <c r="A136" s="75" t="s">
        <v>1711</v>
      </c>
      <c r="B136" s="48" t="s">
        <v>1712</v>
      </c>
      <c r="C136" s="48"/>
      <c r="D136" s="152">
        <v>2500</v>
      </c>
      <c r="E136" s="109" t="s">
        <v>89</v>
      </c>
      <c r="F136" s="30" t="s">
        <v>89</v>
      </c>
      <c r="G136" s="30" t="s">
        <v>90</v>
      </c>
      <c r="H136" s="30"/>
      <c r="I136" s="289" t="s">
        <v>338</v>
      </c>
      <c r="J136" s="289" t="s">
        <v>1713</v>
      </c>
      <c r="K136" s="289" t="s">
        <v>1494</v>
      </c>
      <c r="L136" s="291">
        <v>46007</v>
      </c>
      <c r="M136" s="293" t="s">
        <v>289</v>
      </c>
      <c r="N136" s="277"/>
      <c r="O136" s="48" t="s">
        <v>1714</v>
      </c>
      <c r="P136" s="40" t="s">
        <v>1715</v>
      </c>
      <c r="Q136" s="222" t="s">
        <v>1716</v>
      </c>
      <c r="R136" s="37"/>
      <c r="S136" s="37"/>
      <c r="T136" s="195"/>
      <c r="U136" s="37"/>
      <c r="V136" s="37"/>
      <c r="W136" s="195"/>
      <c r="X136" s="48"/>
      <c r="Y136" s="48"/>
      <c r="Z136" s="30"/>
      <c r="AA136" s="48" t="s">
        <v>1717</v>
      </c>
      <c r="AB136" s="48" t="s">
        <v>1718</v>
      </c>
      <c r="AC136" s="48" t="s">
        <v>1719</v>
      </c>
      <c r="AD136" s="48" t="s">
        <v>1720</v>
      </c>
      <c r="AE136" s="48"/>
      <c r="AF136" s="36" t="s">
        <v>54</v>
      </c>
      <c r="AG136" s="36" t="s">
        <v>1656</v>
      </c>
      <c r="AH136" s="180" t="s">
        <v>1721</v>
      </c>
      <c r="AI136" s="36" t="s">
        <v>1722</v>
      </c>
    </row>
    <row r="137" spans="1:69" s="36" customFormat="1" ht="28.8">
      <c r="A137" s="75" t="s">
        <v>1723</v>
      </c>
      <c r="B137" s="38" t="s">
        <v>197</v>
      </c>
      <c r="C137" s="38"/>
      <c r="D137" s="150">
        <v>2500</v>
      </c>
      <c r="E137" s="109" t="s">
        <v>585</v>
      </c>
      <c r="F137" s="37" t="s">
        <v>1724</v>
      </c>
      <c r="G137" s="30" t="s">
        <v>37</v>
      </c>
      <c r="H137" s="30"/>
      <c r="I137" s="289"/>
      <c r="J137" s="289"/>
      <c r="K137" s="289"/>
      <c r="L137" s="291">
        <v>46007</v>
      </c>
      <c r="M137" s="290" t="s">
        <v>38</v>
      </c>
      <c r="N137" s="277" t="s">
        <v>264</v>
      </c>
      <c r="O137" s="38" t="s">
        <v>1725</v>
      </c>
      <c r="P137" s="33" t="s">
        <v>1726</v>
      </c>
      <c r="Q137" s="245"/>
      <c r="R137" s="37"/>
      <c r="S137" s="37"/>
      <c r="T137" s="37"/>
      <c r="U137" s="37"/>
      <c r="V137" s="37"/>
      <c r="W137" s="37"/>
      <c r="X137" s="29"/>
      <c r="Y137" s="33"/>
      <c r="Z137" s="30"/>
      <c r="AA137" s="49" t="s">
        <v>1727</v>
      </c>
      <c r="AB137" s="36" t="s">
        <v>1728</v>
      </c>
      <c r="AD137" s="36" t="s">
        <v>582</v>
      </c>
      <c r="AG137" s="36" t="s">
        <v>1729</v>
      </c>
    </row>
    <row r="138" spans="1:69" s="48" customFormat="1">
      <c r="A138" s="171" t="s">
        <v>1730</v>
      </c>
      <c r="B138" s="133" t="s">
        <v>1507</v>
      </c>
      <c r="C138" s="133" t="s">
        <v>937</v>
      </c>
      <c r="D138" s="155">
        <v>2500</v>
      </c>
      <c r="E138" s="125" t="s">
        <v>89</v>
      </c>
      <c r="F138" s="30" t="s">
        <v>89</v>
      </c>
      <c r="G138" s="30" t="s">
        <v>90</v>
      </c>
      <c r="H138" s="30" t="s">
        <v>54</v>
      </c>
      <c r="I138" s="289" t="s">
        <v>60</v>
      </c>
      <c r="J138" s="289" t="s">
        <v>1731</v>
      </c>
      <c r="K138" s="289"/>
      <c r="L138" s="291">
        <v>46007</v>
      </c>
      <c r="M138" s="290" t="s">
        <v>38</v>
      </c>
      <c r="N138" s="277" t="s">
        <v>1732</v>
      </c>
      <c r="O138" s="172" t="s">
        <v>1733</v>
      </c>
      <c r="P138" s="138" t="s">
        <v>1734</v>
      </c>
      <c r="Q138" s="226" t="s">
        <v>1735</v>
      </c>
      <c r="R138" s="172"/>
      <c r="S138" s="138"/>
      <c r="T138" s="212"/>
      <c r="U138" s="126" t="s">
        <v>1736</v>
      </c>
      <c r="V138" s="137" t="s">
        <v>1737</v>
      </c>
      <c r="W138" s="212">
        <v>8095447500</v>
      </c>
      <c r="Z138" s="137" t="s">
        <v>1734</v>
      </c>
      <c r="AA138" s="139" t="s">
        <v>1738</v>
      </c>
      <c r="AB138" s="139" t="s">
        <v>1739</v>
      </c>
      <c r="AC138" s="137">
        <v>101001941</v>
      </c>
      <c r="AD138" s="144" t="s">
        <v>1740</v>
      </c>
      <c r="AF138" s="36" t="s">
        <v>54</v>
      </c>
      <c r="AG138" s="36" t="s">
        <v>888</v>
      </c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  <c r="BK138" s="36"/>
      <c r="BL138" s="36"/>
      <c r="BM138" s="36"/>
      <c r="BN138" s="36"/>
      <c r="BO138" s="36"/>
      <c r="BP138" s="36"/>
      <c r="BQ138" s="36"/>
    </row>
    <row r="139" spans="1:69" s="48" customFormat="1" ht="28.8">
      <c r="A139" s="119" t="s">
        <v>1741</v>
      </c>
      <c r="B139" s="127" t="s">
        <v>349</v>
      </c>
      <c r="C139" s="127" t="s">
        <v>34</v>
      </c>
      <c r="D139" s="151">
        <v>2500</v>
      </c>
      <c r="E139" s="125" t="s">
        <v>1742</v>
      </c>
      <c r="F139" s="43" t="s">
        <v>89</v>
      </c>
      <c r="G139" s="30" t="s">
        <v>90</v>
      </c>
      <c r="H139" s="30" t="s">
        <v>54</v>
      </c>
      <c r="I139" s="289"/>
      <c r="J139" s="289" t="s">
        <v>1743</v>
      </c>
      <c r="K139" s="289"/>
      <c r="L139" s="290"/>
      <c r="M139" s="293" t="s">
        <v>289</v>
      </c>
      <c r="N139" s="277"/>
      <c r="O139" s="128" t="s">
        <v>1744</v>
      </c>
      <c r="P139" s="130" t="s">
        <v>1745</v>
      </c>
      <c r="Q139" s="220" t="s">
        <v>1746</v>
      </c>
      <c r="R139" s="255"/>
      <c r="S139" s="256"/>
      <c r="T139" s="268"/>
      <c r="U139" s="37"/>
      <c r="V139" s="37"/>
      <c r="W139" s="195"/>
      <c r="X139" s="42"/>
      <c r="Y139" s="52"/>
      <c r="Z139" s="43"/>
      <c r="AA139" s="120" t="s">
        <v>1747</v>
      </c>
      <c r="AB139" s="129" t="s">
        <v>1748</v>
      </c>
      <c r="AC139" s="129" t="s">
        <v>1749</v>
      </c>
      <c r="AD139" s="144" t="s">
        <v>1750</v>
      </c>
      <c r="AE139" s="48" t="s">
        <v>53</v>
      </c>
      <c r="AF139" s="36"/>
      <c r="AG139" s="36" t="s">
        <v>1751</v>
      </c>
      <c r="AH139" s="180" t="s">
        <v>1752</v>
      </c>
      <c r="AI139" s="36" t="s">
        <v>1743</v>
      </c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  <c r="BK139" s="36"/>
      <c r="BL139" s="36"/>
      <c r="BM139" s="36"/>
      <c r="BN139" s="36"/>
      <c r="BO139" s="36"/>
      <c r="BP139" s="36"/>
      <c r="BQ139" s="36"/>
    </row>
    <row r="140" spans="1:69" s="48" customFormat="1">
      <c r="A140" s="75" t="s">
        <v>1753</v>
      </c>
      <c r="B140" s="38" t="s">
        <v>1754</v>
      </c>
      <c r="C140" s="38"/>
      <c r="D140" s="150">
        <v>1500</v>
      </c>
      <c r="E140" s="109" t="s">
        <v>36</v>
      </c>
      <c r="F140" s="30" t="s">
        <v>36</v>
      </c>
      <c r="G140" s="30" t="s">
        <v>37</v>
      </c>
      <c r="H140" s="30"/>
      <c r="I140" s="289"/>
      <c r="J140" s="289"/>
      <c r="K140" s="289"/>
      <c r="L140" s="291">
        <v>46007</v>
      </c>
      <c r="M140" s="290" t="s">
        <v>38</v>
      </c>
      <c r="N140" s="276" t="s">
        <v>1755</v>
      </c>
      <c r="O140" s="38" t="s">
        <v>1756</v>
      </c>
      <c r="P140" s="33" t="s">
        <v>1757</v>
      </c>
      <c r="Q140" s="245"/>
      <c r="R140" s="30" t="s">
        <v>1758</v>
      </c>
      <c r="S140" s="32" t="s">
        <v>1759</v>
      </c>
      <c r="T140" s="32"/>
      <c r="U140" s="38"/>
      <c r="V140" s="33"/>
      <c r="W140" s="33"/>
      <c r="X140" s="30"/>
      <c r="Y140" s="32"/>
      <c r="Z140" s="30"/>
      <c r="AA140" s="55" t="s">
        <v>1760</v>
      </c>
      <c r="AB140" s="36" t="s">
        <v>1761</v>
      </c>
      <c r="AC140" s="36" t="s">
        <v>1762</v>
      </c>
      <c r="AD140" s="36" t="s">
        <v>1763</v>
      </c>
      <c r="AE140" s="36" t="s">
        <v>53</v>
      </c>
      <c r="AF140" s="36"/>
      <c r="AG140" s="36" t="s">
        <v>74</v>
      </c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  <c r="BK140" s="36"/>
      <c r="BL140" s="36"/>
      <c r="BM140" s="36"/>
      <c r="BN140" s="36"/>
      <c r="BO140" s="36"/>
      <c r="BP140" s="36"/>
      <c r="BQ140" s="36"/>
    </row>
    <row r="141" spans="1:69" s="48" customFormat="1">
      <c r="A141" s="77" t="s">
        <v>1764</v>
      </c>
      <c r="B141" s="57" t="s">
        <v>88</v>
      </c>
      <c r="C141" s="57"/>
      <c r="D141" s="151">
        <v>5000</v>
      </c>
      <c r="E141" s="110" t="s">
        <v>212</v>
      </c>
      <c r="F141" s="43" t="s">
        <v>212</v>
      </c>
      <c r="G141" s="30" t="s">
        <v>37</v>
      </c>
      <c r="H141" s="30"/>
      <c r="I141" s="289"/>
      <c r="J141" s="289"/>
      <c r="K141" s="289"/>
      <c r="L141" s="291">
        <v>46007</v>
      </c>
      <c r="M141" s="290" t="s">
        <v>38</v>
      </c>
      <c r="N141" s="277"/>
      <c r="O141" s="57" t="s">
        <v>1765</v>
      </c>
      <c r="P141" s="51" t="s">
        <v>1766</v>
      </c>
      <c r="Q141" s="242"/>
      <c r="R141" s="57"/>
      <c r="S141" s="52"/>
      <c r="T141" s="52"/>
      <c r="U141" s="57"/>
      <c r="V141" s="52"/>
      <c r="W141" s="52"/>
      <c r="X141" s="42"/>
      <c r="Y141" s="52"/>
      <c r="Z141" s="43"/>
      <c r="AA141" s="54" t="s">
        <v>1767</v>
      </c>
      <c r="AB141" s="48">
        <v>5555391100</v>
      </c>
      <c r="AC141" s="48" t="s">
        <v>1768</v>
      </c>
      <c r="AD141" s="48" t="s">
        <v>1769</v>
      </c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/>
      <c r="BK141" s="36"/>
      <c r="BL141" s="36"/>
      <c r="BM141" s="36"/>
      <c r="BN141" s="36"/>
      <c r="BO141" s="36"/>
      <c r="BP141" s="36"/>
      <c r="BQ141" s="36"/>
    </row>
    <row r="142" spans="1:69" s="48" customFormat="1">
      <c r="A142" s="75" t="s">
        <v>1770</v>
      </c>
      <c r="B142" s="48" t="s">
        <v>130</v>
      </c>
      <c r="D142" s="152">
        <v>1500</v>
      </c>
      <c r="E142" s="111" t="s">
        <v>89</v>
      </c>
      <c r="F142" s="48" t="s">
        <v>89</v>
      </c>
      <c r="G142" s="30" t="s">
        <v>90</v>
      </c>
      <c r="H142" s="30"/>
      <c r="I142" s="288"/>
      <c r="J142" s="288"/>
      <c r="K142" s="288"/>
      <c r="L142" s="292">
        <v>46007</v>
      </c>
      <c r="M142" s="293" t="s">
        <v>38</v>
      </c>
      <c r="N142" s="281" t="s">
        <v>264</v>
      </c>
      <c r="O142" s="48" t="s">
        <v>1771</v>
      </c>
      <c r="P142" s="40" t="s">
        <v>1772</v>
      </c>
      <c r="Q142" s="222"/>
      <c r="R142" s="62"/>
      <c r="S142" s="62"/>
      <c r="T142" s="208"/>
      <c r="U142" s="62"/>
      <c r="V142" s="62"/>
      <c r="W142" s="208"/>
      <c r="AA142" s="59" t="s">
        <v>1773</v>
      </c>
      <c r="AB142" s="48" t="s">
        <v>1774</v>
      </c>
      <c r="AD142" s="48" t="s">
        <v>1775</v>
      </c>
      <c r="AF142" s="36" t="s">
        <v>54</v>
      </c>
    </row>
    <row r="143" spans="1:69" s="48" customFormat="1" ht="28.8">
      <c r="A143" s="75" t="s">
        <v>1776</v>
      </c>
      <c r="B143" s="38" t="s">
        <v>197</v>
      </c>
      <c r="C143" s="38"/>
      <c r="D143" s="150">
        <v>2500</v>
      </c>
      <c r="E143" s="109" t="s">
        <v>89</v>
      </c>
      <c r="F143" s="37" t="s">
        <v>89</v>
      </c>
      <c r="G143" s="30" t="s">
        <v>90</v>
      </c>
      <c r="H143" s="30"/>
      <c r="I143" s="288"/>
      <c r="J143" s="288"/>
      <c r="K143" s="288"/>
      <c r="L143" s="293"/>
      <c r="M143" s="293" t="s">
        <v>289</v>
      </c>
      <c r="N143" s="281"/>
      <c r="O143" s="38" t="s">
        <v>1777</v>
      </c>
      <c r="P143" s="31" t="s">
        <v>1778</v>
      </c>
      <c r="Q143" s="217"/>
      <c r="R143" s="38" t="s">
        <v>1779</v>
      </c>
      <c r="S143" s="31"/>
      <c r="T143" s="200"/>
      <c r="U143" s="30"/>
      <c r="V143" s="30"/>
      <c r="W143" s="199"/>
      <c r="X143" s="29"/>
      <c r="Y143" s="33"/>
      <c r="Z143" s="30"/>
      <c r="AA143" s="55" t="s">
        <v>1780</v>
      </c>
      <c r="AB143" s="36" t="s">
        <v>1781</v>
      </c>
      <c r="AC143" s="36" t="s">
        <v>1782</v>
      </c>
      <c r="AD143" s="36" t="s">
        <v>1783</v>
      </c>
      <c r="AE143" s="36"/>
      <c r="AF143" s="36"/>
      <c r="AH143" s="180" t="s">
        <v>1784</v>
      </c>
      <c r="AI143" s="48" t="s">
        <v>1785</v>
      </c>
    </row>
    <row r="144" spans="1:69" s="48" customFormat="1">
      <c r="A144" s="119" t="s">
        <v>1786</v>
      </c>
      <c r="B144" s="128" t="s">
        <v>263</v>
      </c>
      <c r="C144" s="133" t="s">
        <v>1787</v>
      </c>
      <c r="D144" s="150">
        <v>2000</v>
      </c>
      <c r="E144" s="125" t="s">
        <v>212</v>
      </c>
      <c r="F144" s="30" t="s">
        <v>212</v>
      </c>
      <c r="G144" s="30" t="s">
        <v>37</v>
      </c>
      <c r="H144" s="30"/>
      <c r="I144" s="289" t="s">
        <v>60</v>
      </c>
      <c r="J144" s="288" t="s">
        <v>1788</v>
      </c>
      <c r="K144" s="288"/>
      <c r="L144" s="292">
        <v>46007</v>
      </c>
      <c r="M144" s="293" t="s">
        <v>38</v>
      </c>
      <c r="N144" s="281" t="s">
        <v>1789</v>
      </c>
      <c r="O144" s="128" t="s">
        <v>1788</v>
      </c>
      <c r="P144" s="130" t="s">
        <v>1790</v>
      </c>
      <c r="Q144" s="304">
        <v>50762112667</v>
      </c>
      <c r="R144" s="307" t="s">
        <v>1791</v>
      </c>
      <c r="S144" s="314" t="s">
        <v>1792</v>
      </c>
      <c r="T144" s="309">
        <v>50765057471</v>
      </c>
      <c r="U144" s="307" t="s">
        <v>1793</v>
      </c>
      <c r="V144" s="315" t="s">
        <v>1794</v>
      </c>
      <c r="W144" s="304">
        <v>525521515793</v>
      </c>
      <c r="X144" s="29"/>
      <c r="Y144" s="33"/>
      <c r="Z144" s="304" t="s">
        <v>1795</v>
      </c>
      <c r="AA144" s="120" t="s">
        <v>1796</v>
      </c>
      <c r="AB144" s="129" t="s">
        <v>1797</v>
      </c>
      <c r="AC144" s="139" t="s">
        <v>1798</v>
      </c>
      <c r="AD144" s="144" t="s">
        <v>1799</v>
      </c>
      <c r="AE144" s="36" t="s">
        <v>53</v>
      </c>
      <c r="AG144" s="59" t="s">
        <v>1800</v>
      </c>
      <c r="AH144" s="180" t="s">
        <v>1801</v>
      </c>
      <c r="AI144" s="48" t="s">
        <v>1802</v>
      </c>
    </row>
    <row r="145" spans="1:35" s="48" customFormat="1" ht="43.2">
      <c r="A145" s="77" t="s">
        <v>1803</v>
      </c>
      <c r="B145" s="42" t="s">
        <v>88</v>
      </c>
      <c r="C145" s="42"/>
      <c r="D145" s="151">
        <v>5000</v>
      </c>
      <c r="E145" s="112" t="s">
        <v>89</v>
      </c>
      <c r="F145" s="42" t="s">
        <v>89</v>
      </c>
      <c r="G145" s="30" t="s">
        <v>90</v>
      </c>
      <c r="H145" s="30" t="s">
        <v>54</v>
      </c>
      <c r="I145" s="289" t="s">
        <v>60</v>
      </c>
      <c r="J145" s="288" t="s">
        <v>1804</v>
      </c>
      <c r="K145" s="288"/>
      <c r="L145" s="292">
        <v>46007</v>
      </c>
      <c r="M145" s="293" t="s">
        <v>38</v>
      </c>
      <c r="N145" s="280" t="s">
        <v>1805</v>
      </c>
      <c r="O145" s="42" t="s">
        <v>1806</v>
      </c>
      <c r="P145" s="52" t="s">
        <v>1807</v>
      </c>
      <c r="Q145" s="224" t="s">
        <v>1808</v>
      </c>
      <c r="R145" s="66"/>
      <c r="S145" s="66"/>
      <c r="T145" s="209"/>
      <c r="U145" s="66"/>
      <c r="V145" s="66"/>
      <c r="W145" s="209"/>
      <c r="X145" s="42"/>
      <c r="Y145" s="52"/>
      <c r="Z145" s="42"/>
      <c r="AA145" s="54" t="s">
        <v>1809</v>
      </c>
      <c r="AB145" s="48" t="s">
        <v>1810</v>
      </c>
      <c r="AD145" s="48" t="s">
        <v>1811</v>
      </c>
      <c r="AE145" s="48" t="s">
        <v>53</v>
      </c>
      <c r="AG145" s="59" t="s">
        <v>1812</v>
      </c>
      <c r="AH145" s="180" t="s">
        <v>1813</v>
      </c>
      <c r="AI145" s="48" t="s">
        <v>548</v>
      </c>
    </row>
    <row r="146" spans="1:35" s="48" customFormat="1">
      <c r="A146" s="119" t="s">
        <v>1814</v>
      </c>
      <c r="B146" s="127" t="s">
        <v>1507</v>
      </c>
      <c r="C146" s="145" t="s">
        <v>1815</v>
      </c>
      <c r="D146" s="151">
        <v>2000</v>
      </c>
      <c r="E146" s="125" t="s">
        <v>36</v>
      </c>
      <c r="F146" s="43" t="s">
        <v>36</v>
      </c>
      <c r="G146" s="30" t="s">
        <v>37</v>
      </c>
      <c r="H146" s="30"/>
      <c r="I146" s="289" t="s">
        <v>60</v>
      </c>
      <c r="J146" s="288" t="s">
        <v>1816</v>
      </c>
      <c r="K146" s="288"/>
      <c r="L146" s="292">
        <v>46007</v>
      </c>
      <c r="M146" s="293" t="s">
        <v>38</v>
      </c>
      <c r="N146" s="280" t="s">
        <v>1817</v>
      </c>
      <c r="O146" s="127" t="s">
        <v>1818</v>
      </c>
      <c r="P146" s="130" t="s">
        <v>1819</v>
      </c>
      <c r="Q146" s="240">
        <v>18492144772</v>
      </c>
      <c r="R146" s="147" t="s">
        <v>1820</v>
      </c>
      <c r="S146" s="257" t="s">
        <v>1821</v>
      </c>
      <c r="T146" s="148">
        <v>18096690207</v>
      </c>
      <c r="U146" s="147" t="s">
        <v>1822</v>
      </c>
      <c r="V146" s="260" t="s">
        <v>1823</v>
      </c>
      <c r="W146" s="258" t="s">
        <v>1824</v>
      </c>
      <c r="X146" s="42"/>
      <c r="Y146" s="52"/>
      <c r="Z146" s="137" t="s">
        <v>1825</v>
      </c>
      <c r="AA146" s="120" t="s">
        <v>1826</v>
      </c>
      <c r="AB146" s="129" t="s">
        <v>1827</v>
      </c>
      <c r="AC146" s="129">
        <v>132138742</v>
      </c>
      <c r="AD146" s="144" t="s">
        <v>1828</v>
      </c>
      <c r="AE146" s="48" t="s">
        <v>53</v>
      </c>
      <c r="AG146" s="48" t="s">
        <v>1504</v>
      </c>
      <c r="AH146" s="180" t="s">
        <v>1829</v>
      </c>
      <c r="AI146" s="48" t="s">
        <v>1622</v>
      </c>
    </row>
    <row r="147" spans="1:35" s="48" customFormat="1" ht="20.399999999999999">
      <c r="A147" s="77" t="s">
        <v>1830</v>
      </c>
      <c r="B147" s="42" t="s">
        <v>349</v>
      </c>
      <c r="C147" s="42"/>
      <c r="D147" s="151">
        <v>2000</v>
      </c>
      <c r="E147" s="110" t="s">
        <v>212</v>
      </c>
      <c r="F147" s="43" t="s">
        <v>212</v>
      </c>
      <c r="G147" s="30" t="s">
        <v>37</v>
      </c>
      <c r="H147" s="30"/>
      <c r="I147" s="288"/>
      <c r="J147" s="288"/>
      <c r="K147" s="288"/>
      <c r="L147" s="292">
        <v>46007</v>
      </c>
      <c r="M147" s="293" t="s">
        <v>38</v>
      </c>
      <c r="N147" s="280" t="s">
        <v>1831</v>
      </c>
      <c r="O147" s="42" t="s">
        <v>1832</v>
      </c>
      <c r="P147" s="52" t="s">
        <v>1833</v>
      </c>
      <c r="Q147" s="246"/>
      <c r="R147" s="37"/>
      <c r="S147" s="37"/>
      <c r="T147" s="37"/>
      <c r="U147" s="37"/>
      <c r="V147" s="37"/>
      <c r="W147" s="37"/>
      <c r="X147" s="42"/>
      <c r="Y147" s="52"/>
      <c r="Z147" s="43"/>
      <c r="AA147" s="54" t="s">
        <v>1834</v>
      </c>
      <c r="AB147" s="48" t="s">
        <v>1835</v>
      </c>
      <c r="AD147" s="48" t="s">
        <v>1836</v>
      </c>
    </row>
    <row r="148" spans="1:35" s="48" customFormat="1">
      <c r="A148" s="75" t="s">
        <v>1837</v>
      </c>
      <c r="B148" s="48" t="s">
        <v>57</v>
      </c>
      <c r="D148" s="152">
        <v>1500</v>
      </c>
      <c r="E148" s="111" t="s">
        <v>617</v>
      </c>
      <c r="F148" s="62" t="s">
        <v>200</v>
      </c>
      <c r="G148" s="30" t="s">
        <v>37</v>
      </c>
      <c r="H148" s="30"/>
      <c r="I148" s="289" t="s">
        <v>60</v>
      </c>
      <c r="J148" s="288" t="s">
        <v>1838</v>
      </c>
      <c r="K148" s="288" t="s">
        <v>1839</v>
      </c>
      <c r="L148" s="293" t="s">
        <v>1840</v>
      </c>
      <c r="M148" s="293" t="s">
        <v>1075</v>
      </c>
      <c r="N148" s="281"/>
      <c r="O148" s="48" t="s">
        <v>1841</v>
      </c>
      <c r="P148" s="40" t="s">
        <v>1842</v>
      </c>
      <c r="Q148" s="241"/>
      <c r="S148" s="40"/>
      <c r="T148" s="40"/>
      <c r="U148" s="48" t="s">
        <v>1843</v>
      </c>
      <c r="V148" s="40" t="s">
        <v>1844</v>
      </c>
      <c r="W148" s="40"/>
      <c r="Y148" s="40"/>
      <c r="AA148" s="59" t="s">
        <v>1845</v>
      </c>
      <c r="AC148" s="48" t="s">
        <v>1846</v>
      </c>
      <c r="AD148" s="48" t="s">
        <v>1847</v>
      </c>
      <c r="AH148" s="180" t="s">
        <v>1848</v>
      </c>
      <c r="AI148" s="48" t="s">
        <v>1849</v>
      </c>
    </row>
    <row r="149" spans="1:35" s="48" customFormat="1">
      <c r="A149" s="75" t="s">
        <v>1850</v>
      </c>
      <c r="B149" s="48" t="s">
        <v>336</v>
      </c>
      <c r="D149" s="152">
        <v>2700</v>
      </c>
      <c r="E149" s="111" t="s">
        <v>89</v>
      </c>
      <c r="F149" s="48" t="s">
        <v>89</v>
      </c>
      <c r="G149" s="30" t="s">
        <v>90</v>
      </c>
      <c r="H149" s="30" t="s">
        <v>54</v>
      </c>
      <c r="I149" s="289" t="s">
        <v>60</v>
      </c>
      <c r="J149" s="288" t="s">
        <v>1851</v>
      </c>
      <c r="K149" s="288"/>
      <c r="L149" s="302">
        <v>46006</v>
      </c>
      <c r="M149" s="293" t="s">
        <v>289</v>
      </c>
      <c r="N149" s="281"/>
      <c r="O149" s="48" t="s">
        <v>1851</v>
      </c>
      <c r="P149" s="237" t="s">
        <v>1852</v>
      </c>
      <c r="Q149" s="251" t="s">
        <v>1853</v>
      </c>
      <c r="R149" s="48" t="s">
        <v>1854</v>
      </c>
      <c r="S149" s="40" t="s">
        <v>1855</v>
      </c>
      <c r="T149" s="207"/>
      <c r="V149" s="40"/>
      <c r="W149" s="207"/>
      <c r="X149" s="59"/>
      <c r="Y149" s="40"/>
      <c r="AA149" s="48" t="s">
        <v>1856</v>
      </c>
      <c r="AB149" s="48" t="s">
        <v>1857</v>
      </c>
      <c r="AC149" s="48" t="s">
        <v>1858</v>
      </c>
      <c r="AD149" s="48" t="s">
        <v>1859</v>
      </c>
    </row>
    <row r="150" spans="1:35" s="48" customFormat="1">
      <c r="A150" s="104" t="s">
        <v>1860</v>
      </c>
      <c r="B150" s="38" t="s">
        <v>88</v>
      </c>
      <c r="C150" s="38"/>
      <c r="D150" s="150">
        <v>5000</v>
      </c>
      <c r="E150" s="109" t="s">
        <v>698</v>
      </c>
      <c r="F150" s="30" t="s">
        <v>698</v>
      </c>
      <c r="G150" s="30" t="s">
        <v>90</v>
      </c>
      <c r="H150" s="30" t="s">
        <v>54</v>
      </c>
      <c r="I150" s="289" t="s">
        <v>60</v>
      </c>
      <c r="J150" s="288" t="s">
        <v>1861</v>
      </c>
      <c r="K150" s="288" t="s">
        <v>288</v>
      </c>
      <c r="L150" s="292">
        <v>46006</v>
      </c>
      <c r="M150" s="293" t="s">
        <v>289</v>
      </c>
      <c r="N150" s="281"/>
      <c r="O150" s="38" t="s">
        <v>1862</v>
      </c>
      <c r="P150" s="31" t="s">
        <v>1863</v>
      </c>
      <c r="Q150" s="217" t="s">
        <v>1864</v>
      </c>
      <c r="R150" s="38"/>
      <c r="S150" s="39"/>
      <c r="T150" s="206"/>
      <c r="U150" s="37"/>
      <c r="V150" s="37"/>
      <c r="W150" s="195"/>
      <c r="X150" s="29"/>
      <c r="Y150" s="33"/>
      <c r="Z150" s="30"/>
      <c r="AA150" s="55" t="s">
        <v>1865</v>
      </c>
      <c r="AB150" s="36" t="s">
        <v>1866</v>
      </c>
      <c r="AC150" s="36"/>
      <c r="AD150" s="36" t="s">
        <v>1867</v>
      </c>
      <c r="AE150" s="36" t="s">
        <v>53</v>
      </c>
      <c r="AH150" s="180" t="s">
        <v>1868</v>
      </c>
      <c r="AI150" s="48" t="s">
        <v>1869</v>
      </c>
    </row>
    <row r="151" spans="1:35" s="48" customFormat="1" ht="43.2">
      <c r="A151" s="75" t="s">
        <v>1870</v>
      </c>
      <c r="B151" s="29" t="s">
        <v>349</v>
      </c>
      <c r="C151" s="29"/>
      <c r="D151" s="150">
        <v>2000</v>
      </c>
      <c r="E151" s="109" t="s">
        <v>1270</v>
      </c>
      <c r="F151" s="37" t="s">
        <v>376</v>
      </c>
      <c r="G151" s="30" t="s">
        <v>37</v>
      </c>
      <c r="H151" s="30"/>
      <c r="I151" s="288"/>
      <c r="J151" s="288"/>
      <c r="K151" s="288"/>
      <c r="L151" s="292">
        <v>46007</v>
      </c>
      <c r="M151" s="293" t="s">
        <v>38</v>
      </c>
      <c r="N151" s="281" t="s">
        <v>1871</v>
      </c>
      <c r="O151" s="38" t="s">
        <v>1872</v>
      </c>
      <c r="P151" s="33" t="s">
        <v>1873</v>
      </c>
      <c r="Q151" s="245"/>
      <c r="R151" s="37"/>
      <c r="S151" s="37"/>
      <c r="T151" s="37"/>
      <c r="U151" s="37"/>
      <c r="V151" s="37"/>
      <c r="W151" s="37"/>
      <c r="X151" s="29" t="s">
        <v>1874</v>
      </c>
      <c r="Y151" s="185" t="s">
        <v>1875</v>
      </c>
      <c r="Z151" s="30"/>
      <c r="AA151" s="55" t="s">
        <v>1876</v>
      </c>
      <c r="AB151" s="36" t="s">
        <v>1877</v>
      </c>
      <c r="AC151" s="36" t="s">
        <v>1878</v>
      </c>
      <c r="AD151" s="36" t="s">
        <v>1879</v>
      </c>
      <c r="AE151" s="36"/>
      <c r="AH151" s="184" t="s">
        <v>1880</v>
      </c>
      <c r="AI151" s="48" t="s">
        <v>728</v>
      </c>
    </row>
    <row r="152" spans="1:35" s="48" customFormat="1" ht="43.2">
      <c r="A152" s="75" t="s">
        <v>1881</v>
      </c>
      <c r="B152" s="38" t="s">
        <v>88</v>
      </c>
      <c r="C152" s="38"/>
      <c r="D152" s="150">
        <v>5000</v>
      </c>
      <c r="E152" s="109" t="s">
        <v>698</v>
      </c>
      <c r="F152" s="30" t="s">
        <v>698</v>
      </c>
      <c r="G152" s="30" t="s">
        <v>90</v>
      </c>
      <c r="H152" s="30"/>
      <c r="I152" s="288"/>
      <c r="J152" s="288"/>
      <c r="K152" s="288"/>
      <c r="L152" s="292">
        <v>46007</v>
      </c>
      <c r="M152" s="293" t="s">
        <v>38</v>
      </c>
      <c r="N152" s="280" t="s">
        <v>1882</v>
      </c>
      <c r="O152" s="38" t="s">
        <v>1883</v>
      </c>
      <c r="P152" s="33" t="s">
        <v>1884</v>
      </c>
      <c r="Q152" s="221"/>
      <c r="R152" s="238" t="s">
        <v>1885</v>
      </c>
      <c r="S152" s="235" t="s">
        <v>1886</v>
      </c>
      <c r="T152" s="238" t="s">
        <v>1887</v>
      </c>
      <c r="U152" s="37"/>
      <c r="V152" s="37"/>
      <c r="W152" s="195"/>
      <c r="X152" s="29"/>
      <c r="Y152" s="33"/>
      <c r="Z152" s="30"/>
      <c r="AA152" s="55" t="s">
        <v>1888</v>
      </c>
      <c r="AB152" s="36" t="s">
        <v>1889</v>
      </c>
      <c r="AC152" s="36" t="s">
        <v>1890</v>
      </c>
      <c r="AD152" s="36" t="s">
        <v>1891</v>
      </c>
      <c r="AE152" s="36"/>
    </row>
    <row r="153" spans="1:35" s="48" customFormat="1" ht="20.399999999999999">
      <c r="A153" s="103" t="s">
        <v>1892</v>
      </c>
      <c r="B153" s="48" t="s">
        <v>57</v>
      </c>
      <c r="C153" s="236" t="s">
        <v>2059</v>
      </c>
      <c r="D153" s="152">
        <v>2500</v>
      </c>
      <c r="E153" s="111" t="s">
        <v>2060</v>
      </c>
      <c r="F153" s="62" t="s">
        <v>1893</v>
      </c>
      <c r="G153" s="30" t="s">
        <v>37</v>
      </c>
      <c r="H153" s="30"/>
      <c r="I153" s="289" t="s">
        <v>60</v>
      </c>
      <c r="J153" s="288" t="s">
        <v>1894</v>
      </c>
      <c r="K153" s="288"/>
      <c r="L153" s="292">
        <v>46007</v>
      </c>
      <c r="M153" s="293" t="s">
        <v>38</v>
      </c>
      <c r="N153" s="280" t="s">
        <v>1895</v>
      </c>
      <c r="O153" s="59" t="s">
        <v>1896</v>
      </c>
      <c r="P153" s="40" t="s">
        <v>1897</v>
      </c>
      <c r="Q153" s="241"/>
      <c r="S153" s="40"/>
      <c r="T153" s="40"/>
      <c r="V153" s="40"/>
      <c r="W153" s="40"/>
      <c r="AA153" s="59" t="s">
        <v>1898</v>
      </c>
      <c r="AB153" s="48">
        <v>12015577300</v>
      </c>
      <c r="AD153" s="48" t="s">
        <v>1899</v>
      </c>
      <c r="AH153" s="180" t="s">
        <v>1900</v>
      </c>
      <c r="AI153" s="180" t="s">
        <v>1901</v>
      </c>
    </row>
    <row r="154" spans="1:35" s="48" customFormat="1" ht="20.399999999999999">
      <c r="A154" s="119" t="s">
        <v>1902</v>
      </c>
      <c r="B154" s="133" t="s">
        <v>1903</v>
      </c>
      <c r="C154" s="145" t="s">
        <v>1904</v>
      </c>
      <c r="D154" s="151">
        <v>2000</v>
      </c>
      <c r="E154" s="146" t="s">
        <v>1905</v>
      </c>
      <c r="F154" s="43" t="s">
        <v>212</v>
      </c>
      <c r="G154" s="43" t="s">
        <v>37</v>
      </c>
      <c r="H154" s="43"/>
      <c r="I154" s="289" t="s">
        <v>60</v>
      </c>
      <c r="J154" s="288" t="s">
        <v>1906</v>
      </c>
      <c r="K154" s="288"/>
      <c r="L154" s="292">
        <v>46007</v>
      </c>
      <c r="M154" s="293" t="s">
        <v>38</v>
      </c>
      <c r="N154" s="280" t="s">
        <v>1907</v>
      </c>
      <c r="O154" s="128" t="s">
        <v>1908</v>
      </c>
      <c r="P154" s="130" t="s">
        <v>1909</v>
      </c>
      <c r="Q154" s="240" t="s">
        <v>1910</v>
      </c>
      <c r="R154" s="57"/>
      <c r="S154" s="52"/>
      <c r="T154" s="135"/>
      <c r="U154" s="147" t="s">
        <v>1911</v>
      </c>
      <c r="V154" s="260" t="s">
        <v>1912</v>
      </c>
      <c r="W154" s="258" t="s">
        <v>1913</v>
      </c>
      <c r="X154" s="57"/>
      <c r="Y154" s="52"/>
      <c r="Z154" s="189" t="s">
        <v>1914</v>
      </c>
      <c r="AA154" s="120" t="s">
        <v>1915</v>
      </c>
      <c r="AB154" s="139" t="s">
        <v>1916</v>
      </c>
      <c r="AC154" s="129">
        <v>384240355</v>
      </c>
      <c r="AD154" s="129" t="s">
        <v>1917</v>
      </c>
      <c r="AE154" s="48" t="s">
        <v>53</v>
      </c>
      <c r="AG154" s="48" t="s">
        <v>55</v>
      </c>
      <c r="AH154" s="184" t="s">
        <v>1918</v>
      </c>
      <c r="AI154" s="48" t="s">
        <v>707</v>
      </c>
    </row>
    <row r="155" spans="1:35" s="48" customFormat="1">
      <c r="A155" s="75" t="s">
        <v>1919</v>
      </c>
      <c r="B155" s="29" t="s">
        <v>349</v>
      </c>
      <c r="C155" s="29"/>
      <c r="D155" s="150">
        <v>2000</v>
      </c>
      <c r="E155" s="109" t="s">
        <v>36</v>
      </c>
      <c r="F155" s="30" t="s">
        <v>36</v>
      </c>
      <c r="G155" s="30" t="s">
        <v>37</v>
      </c>
      <c r="H155" s="30"/>
      <c r="I155" s="288"/>
      <c r="J155" s="288"/>
      <c r="K155" s="288"/>
      <c r="L155" s="292">
        <v>46007</v>
      </c>
      <c r="M155" s="293" t="s">
        <v>38</v>
      </c>
      <c r="N155" s="281" t="s">
        <v>1009</v>
      </c>
      <c r="O155" s="38" t="s">
        <v>1920</v>
      </c>
      <c r="P155" s="33" t="s">
        <v>1921</v>
      </c>
      <c r="Q155" s="245"/>
      <c r="R155" s="38"/>
      <c r="S155" s="33"/>
      <c r="T155" s="33"/>
      <c r="U155" s="38"/>
      <c r="V155" s="33"/>
      <c r="W155" s="33"/>
      <c r="X155" s="38"/>
      <c r="Y155" s="33"/>
      <c r="Z155" s="30"/>
      <c r="AA155" s="55" t="s">
        <v>1922</v>
      </c>
      <c r="AB155" s="36">
        <v>3336844477</v>
      </c>
      <c r="AC155" s="36" t="s">
        <v>1923</v>
      </c>
      <c r="AD155" s="36" t="s">
        <v>1924</v>
      </c>
      <c r="AE155" s="36"/>
      <c r="AH155" s="180" t="s">
        <v>1925</v>
      </c>
      <c r="AI155" s="48" t="s">
        <v>1926</v>
      </c>
    </row>
    <row r="156" spans="1:35" s="48" customFormat="1">
      <c r="A156" s="75" t="s">
        <v>1927</v>
      </c>
      <c r="B156" s="48" t="s">
        <v>157</v>
      </c>
      <c r="D156" s="152"/>
      <c r="E156" s="109" t="s">
        <v>1928</v>
      </c>
      <c r="F156" s="37" t="s">
        <v>200</v>
      </c>
      <c r="G156" s="30" t="s">
        <v>37</v>
      </c>
      <c r="H156" s="30"/>
      <c r="I156" s="288"/>
      <c r="J156" s="288"/>
      <c r="K156" s="288"/>
      <c r="L156" s="293"/>
      <c r="M156" s="293" t="s">
        <v>289</v>
      </c>
      <c r="N156" s="281"/>
      <c r="O156" s="38" t="s">
        <v>1929</v>
      </c>
      <c r="P156" s="31" t="s">
        <v>1930</v>
      </c>
      <c r="Q156" s="239"/>
      <c r="R156" s="38"/>
      <c r="S156" s="31"/>
      <c r="T156" s="31"/>
      <c r="U156" s="38"/>
      <c r="V156" s="31"/>
      <c r="W156" s="31"/>
      <c r="X156" s="38"/>
      <c r="Y156" s="33"/>
      <c r="Z156" s="30"/>
      <c r="AA156" s="55" t="s">
        <v>1931</v>
      </c>
      <c r="AB156" s="36" t="s">
        <v>1932</v>
      </c>
      <c r="AC156" s="36" t="s">
        <v>1932</v>
      </c>
      <c r="AD156" s="36" t="s">
        <v>1933</v>
      </c>
      <c r="AE156" s="36"/>
      <c r="AG156" s="48" t="s">
        <v>1934</v>
      </c>
      <c r="AH156" s="180" t="s">
        <v>1935</v>
      </c>
      <c r="AI156" s="48" t="s">
        <v>1936</v>
      </c>
    </row>
    <row r="157" spans="1:35" s="48" customFormat="1">
      <c r="A157" s="119" t="s">
        <v>1937</v>
      </c>
      <c r="B157" s="129" t="s">
        <v>454</v>
      </c>
      <c r="C157" s="129" t="s">
        <v>1938</v>
      </c>
      <c r="D157" s="152">
        <v>2500</v>
      </c>
      <c r="E157" s="141" t="s">
        <v>131</v>
      </c>
      <c r="F157" s="48" t="s">
        <v>131</v>
      </c>
      <c r="G157" s="30" t="s">
        <v>37</v>
      </c>
      <c r="H157" s="30"/>
      <c r="I157" s="289" t="s">
        <v>60</v>
      </c>
      <c r="J157" s="288" t="s">
        <v>1939</v>
      </c>
      <c r="K157" s="288"/>
      <c r="L157" s="292">
        <v>46007</v>
      </c>
      <c r="M157" s="293" t="s">
        <v>38</v>
      </c>
      <c r="N157" s="319" t="s">
        <v>1940</v>
      </c>
      <c r="O157" s="147" t="s">
        <v>1941</v>
      </c>
      <c r="P157" s="306" t="s">
        <v>1942</v>
      </c>
      <c r="Q157" s="264">
        <v>59899127099</v>
      </c>
      <c r="R157" s="129" t="s">
        <v>1943</v>
      </c>
      <c r="S157" s="138" t="s">
        <v>1944</v>
      </c>
      <c r="T157" s="138">
        <v>59898674555</v>
      </c>
      <c r="V157" s="40"/>
      <c r="W157" s="40"/>
      <c r="Y157" s="40"/>
      <c r="Z157" s="138" t="s">
        <v>1942</v>
      </c>
      <c r="AA157" s="139" t="s">
        <v>1945</v>
      </c>
      <c r="AB157" s="129">
        <f>59899127099/ 218978830011</f>
        <v>0.27353843792110444</v>
      </c>
      <c r="AC157" s="129">
        <v>218978830011</v>
      </c>
      <c r="AD157" s="136" t="s">
        <v>1946</v>
      </c>
      <c r="AE157" s="48" t="s">
        <v>53</v>
      </c>
      <c r="AF157" s="48" t="s">
        <v>54</v>
      </c>
      <c r="AG157" s="48" t="s">
        <v>55</v>
      </c>
    </row>
    <row r="158" spans="1:35" s="48" customFormat="1" ht="28.8">
      <c r="A158" s="75" t="s">
        <v>1947</v>
      </c>
      <c r="B158" s="38" t="s">
        <v>108</v>
      </c>
      <c r="C158" s="38"/>
      <c r="D158" s="150">
        <v>2000</v>
      </c>
      <c r="E158" s="109" t="s">
        <v>160</v>
      </c>
      <c r="F158" s="30" t="s">
        <v>160</v>
      </c>
      <c r="G158" s="30" t="s">
        <v>37</v>
      </c>
      <c r="H158" s="30"/>
      <c r="I158" s="288"/>
      <c r="J158" s="288"/>
      <c r="K158" s="288"/>
      <c r="L158" s="292">
        <v>46007</v>
      </c>
      <c r="M158" s="293" t="s">
        <v>38</v>
      </c>
      <c r="N158" s="281" t="s">
        <v>264</v>
      </c>
      <c r="O158" s="38" t="s">
        <v>1948</v>
      </c>
      <c r="P158" s="31" t="s">
        <v>1949</v>
      </c>
      <c r="Q158" s="239"/>
      <c r="R158" s="38"/>
      <c r="S158" s="58"/>
      <c r="T158" s="58"/>
      <c r="U158" s="29" t="s">
        <v>1950</v>
      </c>
      <c r="V158" s="58" t="s">
        <v>1951</v>
      </c>
      <c r="W158" s="58"/>
      <c r="X158" s="29"/>
      <c r="Y158" s="33"/>
      <c r="Z158" s="30"/>
      <c r="AA158" s="55" t="s">
        <v>1952</v>
      </c>
      <c r="AB158" s="36">
        <v>593986645166</v>
      </c>
      <c r="AC158" s="36"/>
      <c r="AD158" s="36" t="s">
        <v>1953</v>
      </c>
      <c r="AE158" s="36" t="s">
        <v>704</v>
      </c>
      <c r="AH158" s="180" t="s">
        <v>1954</v>
      </c>
      <c r="AI158" s="48" t="s">
        <v>1955</v>
      </c>
    </row>
    <row r="159" spans="1:35" s="48" customFormat="1" ht="28.8">
      <c r="A159" s="105" t="s">
        <v>1956</v>
      </c>
      <c r="B159" s="81" t="s">
        <v>197</v>
      </c>
      <c r="C159" s="81"/>
      <c r="D159" s="156">
        <v>2000</v>
      </c>
      <c r="E159" s="113" t="s">
        <v>36</v>
      </c>
      <c r="F159" s="82" t="s">
        <v>36</v>
      </c>
      <c r="G159" s="82" t="s">
        <v>37</v>
      </c>
      <c r="H159" s="82" t="s">
        <v>54</v>
      </c>
      <c r="I159" s="288" t="s">
        <v>338</v>
      </c>
      <c r="J159" s="288" t="s">
        <v>1957</v>
      </c>
      <c r="K159" s="288" t="s">
        <v>1958</v>
      </c>
      <c r="L159" s="292">
        <v>46006</v>
      </c>
      <c r="M159" s="293" t="s">
        <v>289</v>
      </c>
      <c r="N159" s="285"/>
      <c r="O159" s="81" t="s">
        <v>1957</v>
      </c>
      <c r="P159" s="83" t="s">
        <v>1959</v>
      </c>
      <c r="Q159" s="252"/>
      <c r="R159" s="270"/>
      <c r="S159" s="270"/>
      <c r="T159" s="270"/>
      <c r="U159" s="270"/>
      <c r="V159" s="270"/>
      <c r="W159" s="270"/>
      <c r="X159" s="84"/>
      <c r="Y159" s="85"/>
      <c r="Z159" s="82"/>
      <c r="AA159" s="89" t="s">
        <v>1960</v>
      </c>
      <c r="AB159" s="86" t="s">
        <v>1961</v>
      </c>
      <c r="AC159" s="86" t="s">
        <v>1962</v>
      </c>
      <c r="AD159" s="86" t="s">
        <v>1963</v>
      </c>
      <c r="AE159" s="86" t="s">
        <v>53</v>
      </c>
      <c r="AF159" s="87"/>
      <c r="AG159" s="87"/>
      <c r="AH159" s="180" t="s">
        <v>1964</v>
      </c>
      <c r="AI159" s="48" t="s">
        <v>1849</v>
      </c>
    </row>
    <row r="160" spans="1:35" s="88" customFormat="1">
      <c r="A160" s="174" t="s">
        <v>1965</v>
      </c>
      <c r="B160" s="176" t="s">
        <v>1966</v>
      </c>
      <c r="C160" s="175" t="s">
        <v>1967</v>
      </c>
      <c r="D160" s="157">
        <v>5000</v>
      </c>
      <c r="E160" s="178" t="s">
        <v>212</v>
      </c>
      <c r="F160" s="14" t="s">
        <v>212</v>
      </c>
      <c r="G160" s="14" t="s">
        <v>37</v>
      </c>
      <c r="H160" s="14"/>
      <c r="I160" s="295"/>
      <c r="J160" s="295"/>
      <c r="K160" s="295"/>
      <c r="L160" s="296"/>
      <c r="M160" s="293" t="s">
        <v>289</v>
      </c>
      <c r="N160" s="286"/>
      <c r="O160" s="176" t="s">
        <v>1968</v>
      </c>
      <c r="P160" s="179" t="s">
        <v>1969</v>
      </c>
      <c r="Q160" s="253"/>
      <c r="R160" s="271"/>
      <c r="S160" s="271"/>
      <c r="T160" s="271"/>
      <c r="U160" s="271"/>
      <c r="V160" s="271"/>
      <c r="W160" s="271"/>
      <c r="X160" s="13"/>
      <c r="Y160" s="15"/>
      <c r="Z160" s="136" t="s">
        <v>1969</v>
      </c>
      <c r="AA160" s="23" t="s">
        <v>1970</v>
      </c>
      <c r="AB160" s="177" t="s">
        <v>1971</v>
      </c>
      <c r="AC160" s="17"/>
      <c r="AD160" s="136" t="s">
        <v>1972</v>
      </c>
      <c r="AE160" s="17" t="s">
        <v>53</v>
      </c>
      <c r="AG160" s="88" t="s">
        <v>1973</v>
      </c>
    </row>
    <row r="161" spans="1:35" s="88" customFormat="1">
      <c r="A161" s="104" t="s">
        <v>1974</v>
      </c>
      <c r="B161" s="18" t="s">
        <v>88</v>
      </c>
      <c r="C161" s="18"/>
      <c r="D161" s="157">
        <v>5000</v>
      </c>
      <c r="E161" s="114" t="s">
        <v>89</v>
      </c>
      <c r="F161" s="14" t="s">
        <v>89</v>
      </c>
      <c r="G161" s="14" t="s">
        <v>90</v>
      </c>
      <c r="H161" s="14"/>
      <c r="I161" s="295"/>
      <c r="J161" s="295"/>
      <c r="K161" s="295"/>
      <c r="L161" s="296"/>
      <c r="M161" s="296" t="s">
        <v>161</v>
      </c>
      <c r="N161" s="286"/>
      <c r="O161" s="18" t="s">
        <v>1975</v>
      </c>
      <c r="P161" s="15" t="s">
        <v>1976</v>
      </c>
      <c r="Q161" s="228" t="s">
        <v>1977</v>
      </c>
      <c r="R161" s="271"/>
      <c r="S161" s="271"/>
      <c r="T161" s="272"/>
      <c r="U161" s="271"/>
      <c r="V161" s="271"/>
      <c r="W161" s="272"/>
      <c r="X161" s="13"/>
      <c r="Y161" s="15"/>
      <c r="Z161" s="14"/>
      <c r="AA161" s="22" t="s">
        <v>1978</v>
      </c>
      <c r="AB161" s="17" t="s">
        <v>1979</v>
      </c>
      <c r="AC161" s="17"/>
      <c r="AD161" s="17" t="s">
        <v>1980</v>
      </c>
      <c r="AE161" s="17"/>
      <c r="AH161" s="180" t="s">
        <v>1981</v>
      </c>
      <c r="AI161" s="88" t="s">
        <v>1982</v>
      </c>
    </row>
    <row r="194" spans="16:16">
      <c r="P194" s="51" t="s">
        <v>1020</v>
      </c>
    </row>
  </sheetData>
  <autoFilter ref="A1:AI161" xr:uid="{0F129865-BAC1-43A6-8467-41F7E7B3E707}"/>
  <conditionalFormatting sqref="P142:Q143">
    <cfRule type="duplicateValues" dxfId="25" priority="31"/>
    <cfRule type="duplicateValues" dxfId="24" priority="32"/>
    <cfRule type="duplicateValues" dxfId="23" priority="33"/>
  </conditionalFormatting>
  <conditionalFormatting sqref="S142:T143">
    <cfRule type="duplicateValues" dxfId="22" priority="25"/>
    <cfRule type="duplicateValues" dxfId="21" priority="26"/>
    <cfRule type="duplicateValues" dxfId="20" priority="27"/>
  </conditionalFormatting>
  <conditionalFormatting sqref="Y151">
    <cfRule type="duplicateValues" dxfId="19" priority="3"/>
    <cfRule type="duplicateValues" dxfId="18" priority="4"/>
  </conditionalFormatting>
  <conditionalFormatting sqref="Z59">
    <cfRule type="duplicateValues" dxfId="17" priority="23"/>
    <cfRule type="duplicateValues" dxfId="16" priority="24"/>
  </conditionalFormatting>
  <conditionalFormatting sqref="Z63">
    <cfRule type="duplicateValues" dxfId="15" priority="21"/>
    <cfRule type="duplicateValues" dxfId="14" priority="22"/>
  </conditionalFormatting>
  <conditionalFormatting sqref="Z80">
    <cfRule type="duplicateValues" dxfId="13" priority="17"/>
    <cfRule type="duplicateValues" dxfId="12" priority="18"/>
  </conditionalFormatting>
  <conditionalFormatting sqref="Z87">
    <cfRule type="duplicateValues" dxfId="11" priority="15"/>
    <cfRule type="duplicateValues" dxfId="10" priority="16"/>
  </conditionalFormatting>
  <conditionalFormatting sqref="Z107">
    <cfRule type="duplicateValues" dxfId="9" priority="11"/>
    <cfRule type="duplicateValues" dxfId="8" priority="12"/>
  </conditionalFormatting>
  <conditionalFormatting sqref="Z114">
    <cfRule type="duplicateValues" dxfId="7" priority="9"/>
    <cfRule type="duplicateValues" dxfId="6" priority="10"/>
  </conditionalFormatting>
  <conditionalFormatting sqref="Z118">
    <cfRule type="duplicateValues" dxfId="5" priority="7"/>
    <cfRule type="duplicateValues" dxfId="4" priority="8"/>
  </conditionalFormatting>
  <conditionalFormatting sqref="Z128">
    <cfRule type="duplicateValues" dxfId="3" priority="5"/>
    <cfRule type="duplicateValues" dxfId="2" priority="6"/>
  </conditionalFormatting>
  <conditionalFormatting sqref="Z154">
    <cfRule type="duplicateValues" dxfId="1" priority="1"/>
    <cfRule type="duplicateValues" dxfId="0" priority="2"/>
  </conditionalFormatting>
  <hyperlinks>
    <hyperlink ref="P153" r:id="rId1" xr:uid="{5A3A7032-113B-4E8D-A4DC-92B2B9FEFEA9}"/>
    <hyperlink ref="P35" r:id="rId2" xr:uid="{C2973C1E-4DE7-45A1-B66D-27DCE204AF18}"/>
    <hyperlink ref="V46" r:id="rId3" xr:uid="{ED69938F-6E9D-4399-A1CB-77FBAC408029}"/>
    <hyperlink ref="P46" r:id="rId4" xr:uid="{447B381F-264A-4D30-8451-E95D9161468A}"/>
    <hyperlink ref="V92" r:id="rId5" xr:uid="{C680CC31-3C07-4A1E-B5AE-E2336F284D13}"/>
    <hyperlink ref="P92" r:id="rId6" xr:uid="{AE5981B9-EBDF-48F2-A2D0-905801292DD5}"/>
    <hyperlink ref="Y30" r:id="rId7" xr:uid="{DC690ACD-3503-46DB-BCC9-92C65123055C}"/>
    <hyperlink ref="P30" r:id="rId8" xr:uid="{D09F1EFA-1546-41FD-A764-0558475A510C}"/>
    <hyperlink ref="P136" r:id="rId9" xr:uid="{5807EC8F-815B-4A09-903C-C330B99A7474}"/>
    <hyperlink ref="P96" r:id="rId10" xr:uid="{9EE43317-136E-4C75-841C-0DD3DC04B2CE}"/>
    <hyperlink ref="S5" r:id="rId11" xr:uid="{89D34C70-606B-40BC-99F0-8CC0AA484EDB}"/>
    <hyperlink ref="P150" r:id="rId12" xr:uid="{4098F04B-463D-4AB5-8765-1871127EA338}"/>
    <hyperlink ref="P89" r:id="rId13" xr:uid="{1CD9FD6C-AB5F-45DF-859C-3615CB83DAA6}"/>
    <hyperlink ref="V116" r:id="rId14" xr:uid="{78CAFE5B-3140-45ED-9B63-E6CA4DBBB1C9}"/>
    <hyperlink ref="V158" r:id="rId15" xr:uid="{ADA0E8E0-4AC0-4F4E-976B-0D06288E989F}"/>
    <hyperlink ref="V127" r:id="rId16" xr:uid="{8E24955F-6040-4FD6-B65F-0869E2DA77CE}"/>
    <hyperlink ref="V65" r:id="rId17" xr:uid="{F0FCA1F1-64CD-4F5B-971D-0AA5929C72AA}"/>
    <hyperlink ref="V19" r:id="rId18" xr:uid="{70BE0151-C2A9-4AF9-86EE-92918D7771AC}"/>
    <hyperlink ref="V9" r:id="rId19" xr:uid="{9D7DD855-FF71-4BF9-8267-CED29FEB5FCE}"/>
    <hyperlink ref="S157" r:id="rId20" xr:uid="{17BC73DF-8EF1-4C38-99F6-960034782877}"/>
    <hyperlink ref="V148" r:id="rId21" xr:uid="{A55D3F09-1A13-48AE-B25A-65CD4F61B001}"/>
    <hyperlink ref="S140" r:id="rId22" xr:uid="{17B04389-0BDA-4072-81EE-20F486162B74}"/>
    <hyperlink ref="V117" r:id="rId23" xr:uid="{47932EF2-70C1-4827-9F14-79AF8C83CB59}"/>
    <hyperlink ref="Y117" r:id="rId24" xr:uid="{5CDAE81A-7F91-4CD9-B2F6-2366E8374566}"/>
    <hyperlink ref="V115" r:id="rId25" xr:uid="{5235D43A-BD2E-4D3A-8EB5-9C5DD88EE2B3}"/>
    <hyperlink ref="V112" r:id="rId26" xr:uid="{BCF3D28F-E16A-4179-841B-B486C751954E}"/>
    <hyperlink ref="S109" r:id="rId27" xr:uid="{668B9006-1A1D-49F0-B7CC-B671E742B6FA}"/>
    <hyperlink ref="V99" r:id="rId28" xr:uid="{6D16DE3F-AA6F-4DD1-8CF2-1CC068048FE6}"/>
    <hyperlink ref="V98" r:id="rId29" xr:uid="{368EFF04-70C6-40F7-9E3F-4F2AE243A97A}"/>
    <hyperlink ref="S98" r:id="rId30" xr:uid="{3ED27A8A-DB14-4753-AE7C-D11263EA6021}"/>
    <hyperlink ref="S44" r:id="rId31" xr:uid="{6674A94D-9238-43E8-8506-2DA889B13942}"/>
    <hyperlink ref="Y28" r:id="rId32" xr:uid="{DE551D40-094A-4D1C-9D66-42B1B68E2F1F}"/>
    <hyperlink ref="V28" r:id="rId33" xr:uid="{FA82910E-2324-412E-A425-BC7E3762CC87}"/>
    <hyperlink ref="S21" r:id="rId34" xr:uid="{C507D834-DC86-4DF1-AE2B-8ACA32836286}"/>
    <hyperlink ref="V105" r:id="rId35" xr:uid="{41619809-689A-4392-9E9F-1973D54F0296}"/>
    <hyperlink ref="S149" r:id="rId36" xr:uid="{AF9199A3-4B24-4067-B2CE-3B432FE2E525}"/>
    <hyperlink ref="P135" r:id="rId37" xr:uid="{7D2A6BA2-83EE-40E9-ADD3-F4B73280359D}"/>
    <hyperlink ref="V53" r:id="rId38" xr:uid="{34880D4D-3613-4E7F-B023-78C0EF98896D}"/>
    <hyperlink ref="S26" r:id="rId39" xr:uid="{A9B42074-AAAD-4BA3-906D-73EAE55B8E40}"/>
    <hyperlink ref="S41" r:id="rId40" xr:uid="{F134068C-7BD1-40D9-A756-CA5B1160E24D}"/>
    <hyperlink ref="V135" r:id="rId41" xr:uid="{6732B40C-F1E7-431F-A16C-7E8F2F145217}"/>
    <hyperlink ref="Z135" r:id="rId42" xr:uid="{5C456264-A1A8-410E-95E8-D567BAA4FC1D}"/>
    <hyperlink ref="V2" r:id="rId43" xr:uid="{E4A5BE6C-5933-4F3D-B408-CF744990EB3F}"/>
    <hyperlink ref="Z2" r:id="rId44" xr:uid="{B5C230B4-E5C9-45E9-9D91-7B810A8578A7}"/>
    <hyperlink ref="P21" r:id="rId45" xr:uid="{2E02D12F-AE88-4DBC-9924-A1E16E073A7C}"/>
    <hyperlink ref="Z21" r:id="rId46" xr:uid="{2C812388-C26E-4E6F-8CC8-27FDEFFC4AB3}"/>
    <hyperlink ref="P45" r:id="rId47" xr:uid="{46BF703A-3080-4F79-A122-10C8433CDF37}"/>
    <hyperlink ref="S45" r:id="rId48" xr:uid="{9880DFE0-7925-4352-81D4-F717144248C9}"/>
    <hyperlink ref="Z45" r:id="rId49" xr:uid="{3E65C2B3-3CF7-4A96-8E2B-FE81AD7D289F}"/>
    <hyperlink ref="P142" r:id="rId50" xr:uid="{57A3F20F-32AE-47D4-863B-9C9C06C5B87B}"/>
    <hyperlink ref="P148" r:id="rId51" xr:uid="{F0C2E030-8C6C-4CDB-BAA1-7D30C75045CE}"/>
    <hyperlink ref="P74" r:id="rId52" xr:uid="{6B418A2A-F343-4372-B9D0-52907688BBAE}"/>
    <hyperlink ref="P76" r:id="rId53" xr:uid="{50DD415C-6331-4015-BCA5-9D194060522B}"/>
    <hyperlink ref="P132" r:id="rId54" xr:uid="{2A2E92CB-2BD8-4E40-9150-A284FFCB23B2}"/>
    <hyperlink ref="P138" r:id="rId55" xr:uid="{0E7BF5D1-6D29-4D39-9157-7211C19A1777}"/>
    <hyperlink ref="V71" r:id="rId56" xr:uid="{8BBF55A6-C1E6-41A0-B708-674C15CEF2C7}"/>
    <hyperlink ref="P119" r:id="rId57" xr:uid="{B421F6D8-47E5-49F7-ADD6-3E4FE00576B5}"/>
    <hyperlink ref="P81" r:id="rId58" xr:uid="{FC01078C-A909-4624-951E-4DA51C4A9985}"/>
    <hyperlink ref="P131" r:id="rId59" xr:uid="{920289B4-F9E7-418C-AD4F-0B29C1AE8BF2}"/>
    <hyperlink ref="P130" r:id="rId60" xr:uid="{9406551A-81F3-4BB3-BE60-BE1B39933237}"/>
    <hyperlink ref="P67" r:id="rId61" xr:uid="{9BFB2EA8-5C25-4812-87F7-9B32BE395D2A}"/>
    <hyperlink ref="P44" r:id="rId62" xr:uid="{79BB3528-50BA-475D-AD09-9A42572BCBD8}"/>
    <hyperlink ref="P43" r:id="rId63" xr:uid="{E1BBA4E9-0848-4A3B-928B-08D46DDF17D4}"/>
    <hyperlink ref="P68" r:id="rId64" xr:uid="{E62EA3F0-7ECF-43A1-9AD4-4E767A3BEDCE}"/>
    <hyperlink ref="AD50" r:id="rId65" xr:uid="{BF4EC8D6-7DCC-4B2D-A130-D54DCC819996}"/>
    <hyperlink ref="AD31" r:id="rId66" display="http://bse.com.uy/" xr:uid="{A5008159-72AB-448C-862F-0FD007759423}"/>
    <hyperlink ref="P161" r:id="rId67" xr:uid="{9DF7B839-D534-48D7-8991-AC179F1DD0B1}"/>
    <hyperlink ref="P160" r:id="rId68" xr:uid="{0F1EFA59-60EF-497F-AA0E-C49C4D9B6D0D}"/>
    <hyperlink ref="P152" r:id="rId69" xr:uid="{290EC63C-A57F-4690-A70C-61BD890F34C8}"/>
    <hyperlink ref="P143" r:id="rId70" xr:uid="{5EAB185D-43AD-4691-A3D1-5441B172F698}"/>
    <hyperlink ref="P141" r:id="rId71" xr:uid="{7955EF9F-1532-4BAC-A98B-94FBE3FC89E9}"/>
    <hyperlink ref="P133" r:id="rId72" xr:uid="{3B99F214-9F40-43B4-A1E1-B7FE5C6331E0}"/>
    <hyperlink ref="P124" r:id="rId73" xr:uid="{EAC031CB-F758-466C-B28F-572F9FF8A2B6}"/>
    <hyperlink ref="P123" r:id="rId74" xr:uid="{5D959470-6FF9-43DF-80DA-38DBC804C098}"/>
    <hyperlink ref="P113" r:id="rId75" xr:uid="{D166126B-CB12-49AE-9A02-1D6434E31160}"/>
    <hyperlink ref="P106" r:id="rId76" xr:uid="{016AF7D5-130F-4FA9-BD6A-0240696382FB}"/>
    <hyperlink ref="P105" r:id="rId77" xr:uid="{34DD537E-0ED7-4E05-9A96-A837B488A552}"/>
    <hyperlink ref="P98" r:id="rId78" xr:uid="{A7C75749-FF67-48C7-8E81-7DA0B9A1C288}"/>
    <hyperlink ref="P93" r:id="rId79" xr:uid="{D7B79E36-36B9-43F4-B2E6-01F3B47F0B46}"/>
    <hyperlink ref="P87" r:id="rId80" xr:uid="{8820ECED-C58E-4063-BC5E-CA3E147BB6D8}"/>
    <hyperlink ref="P86" r:id="rId81" xr:uid="{3E18A320-4B2A-4764-B38B-8B5FEDC751CE}"/>
    <hyperlink ref="P85" r:id="rId82" xr:uid="{22B22302-55F3-4B4C-9ECF-F78C24751A71}"/>
    <hyperlink ref="P78" r:id="rId83" xr:uid="{D8612D73-FAAB-4000-99AE-5475276C9F81}"/>
    <hyperlink ref="P75" r:id="rId84" xr:uid="{98EBE5CD-0653-4DCD-9DDC-9832F5A5FEC9}"/>
    <hyperlink ref="P71" r:id="rId85" xr:uid="{18661A7C-6749-4442-8AF1-8A6B9EB04E4B}"/>
    <hyperlink ref="P69" r:id="rId86" xr:uid="{EFF97AA8-BF02-430B-83C2-4B55F4DF194E}"/>
    <hyperlink ref="P56" r:id="rId87" xr:uid="{343045FB-15C5-43FB-8CD7-BEE0AA99EF62}"/>
    <hyperlink ref="P53" r:id="rId88" xr:uid="{99C26A18-7801-46D2-9066-EA15F291DE08}"/>
    <hyperlink ref="P48" r:id="rId89" xr:uid="{B96318BB-E9BF-43F5-A68A-46C38757B9BB}"/>
    <hyperlink ref="P42" r:id="rId90" xr:uid="{A6CCA0A6-26A5-44C2-A72B-F0A63BA3DEC1}"/>
    <hyperlink ref="P40" r:id="rId91" xr:uid="{2C033CB4-80E2-4A45-9DBF-E072C965263D}"/>
    <hyperlink ref="P32" r:id="rId92" xr:uid="{C499621E-7981-42B6-AA33-9AEBE8D0F306}"/>
    <hyperlink ref="P19" r:id="rId93" xr:uid="{E2308DC2-8819-445D-AAD1-EA5B71D89A8D}"/>
    <hyperlink ref="P10" r:id="rId94" xr:uid="{E837CD54-40CE-468D-9E8F-6F80E4B03C1E}"/>
    <hyperlink ref="AB124" r:id="rId95" display="tel:0203 961 9840" xr:uid="{0E92F4C1-99D0-4B19-B42B-CF734DC3F6BD}"/>
    <hyperlink ref="AB29" r:id="rId96" tooltip="Banca Telefónica" display="tel:600 692 8000" xr:uid="{344F5DF4-5784-4D96-AC75-01F4A528A7FE}"/>
    <hyperlink ref="AB5" r:id="rId97" display="tel:914925913" xr:uid="{F80CAEA5-BB2A-4FE8-B58F-F003B5B21997}"/>
    <hyperlink ref="P23" r:id="rId98" xr:uid="{8262E114-F4B8-4B26-9BAF-AB9944D93EA0}"/>
    <hyperlink ref="P73" r:id="rId99" xr:uid="{5C6F1841-76D3-488F-882D-B3A8B4E6D3AB}"/>
    <hyperlink ref="P54" r:id="rId100" xr:uid="{A4645E26-C39C-4DA0-9B8D-92AE60E831B6}"/>
    <hyperlink ref="P9" r:id="rId101" xr:uid="{BA1BB79B-2682-473B-A543-0C53C603B592}"/>
    <hyperlink ref="P95" r:id="rId102" xr:uid="{4DD27194-58C9-4D24-8322-871C20D1F50E}"/>
    <hyperlink ref="P3" r:id="rId103" xr:uid="{68EDC354-705D-43D0-8A1A-A0C01B1BC3A0}"/>
    <hyperlink ref="P5" r:id="rId104" xr:uid="{19386511-DCFE-41F9-A205-C262A49B1AC6}"/>
    <hyperlink ref="P15" r:id="rId105" xr:uid="{D3E0AAF4-D450-4388-879D-A09AA3657E66}"/>
    <hyperlink ref="P25" r:id="rId106" xr:uid="{7B2A9A13-12D2-4B5C-8C42-685C8700FAD4}"/>
    <hyperlink ref="P158" r:id="rId107" xr:uid="{8B07ECAA-8582-4726-A14F-037EFD092431}"/>
    <hyperlink ref="P33" r:id="rId108" xr:uid="{4D95D3E3-5986-4BDC-9064-134E28BBA0B3}"/>
    <hyperlink ref="P91" r:id="rId109" xr:uid="{929C9D61-697D-4B3D-8B7A-BC9E30090810}"/>
    <hyperlink ref="P102" r:id="rId110" xr:uid="{5DB5A952-13D7-49C7-AE70-29986F746A86}"/>
    <hyperlink ref="P50" r:id="rId111" xr:uid="{5A729421-57CE-469A-A2AA-8378272A5798}"/>
    <hyperlink ref="P117" r:id="rId112" xr:uid="{24E464A7-E75F-4AB8-BD57-C27BA76B8ED6}"/>
    <hyperlink ref="P108" r:id="rId113" xr:uid="{286AC9D9-71D3-44AA-B2E4-47DE1E934000}"/>
    <hyperlink ref="P140" r:id="rId114" xr:uid="{512E8647-1103-428E-A0EE-824857A1EF9E}"/>
    <hyperlink ref="P147" r:id="rId115" xr:uid="{AD3F9E00-1B4A-4D61-BCBD-9966351CEA5B}"/>
    <hyperlink ref="P66" r:id="rId116" xr:uid="{13598F61-B5AD-4ABA-86CF-0E75F2E411E6}"/>
    <hyperlink ref="P11" r:id="rId117" xr:uid="{8817AC3D-5953-4077-9930-420BDE9E75A2}"/>
    <hyperlink ref="P112" r:id="rId118" xr:uid="{783735A7-C2A5-4573-9EBA-393441B5D704}"/>
    <hyperlink ref="P99" r:id="rId119" xr:uid="{E0717D8C-DDF6-472B-B986-9CCADBC3CCD5}"/>
    <hyperlink ref="O99" r:id="rId120" display=" Guillermo R. Sparks" xr:uid="{0FAE82BF-129B-4680-AE5C-6BD59F255C3E}"/>
    <hyperlink ref="P12" r:id="rId121" xr:uid="{BB6C7D11-D669-4475-86B8-19F4DEA54884}"/>
    <hyperlink ref="P52" r:id="rId122" xr:uid="{2677457C-0BBE-465A-BECE-86A88A72980E}"/>
    <hyperlink ref="P154" r:id="rId123" xr:uid="{0FF48C5F-B3F6-4A93-9FC4-10E2270F5DDE}"/>
    <hyperlink ref="P39" r:id="rId124" xr:uid="{BA2F4AA2-A57D-4D3C-8E6C-8A919A579694}"/>
    <hyperlink ref="P155" r:id="rId125" xr:uid="{A4601AF2-428B-4209-9266-86959E3D632A}"/>
    <hyperlink ref="P103" r:id="rId126" xr:uid="{AB65ECC6-0D85-499E-AD90-56CF7FCCD8EF}"/>
    <hyperlink ref="P84" r:id="rId127" xr:uid="{71A9BBED-AA0A-4196-B779-CFCDFB3CD342}"/>
    <hyperlink ref="P63" r:id="rId128" xr:uid="{6AF52D01-4FD5-4C9F-918D-FF5A70393DB6}"/>
    <hyperlink ref="P145" r:id="rId129" xr:uid="{BCCEA2AC-A514-45A3-BDD8-905F3E30C50C}"/>
    <hyperlink ref="P111" r:id="rId130" xr:uid="{EEB79E11-05F4-4323-9546-6158B4DF76FF}"/>
    <hyperlink ref="P38" r:id="rId131" xr:uid="{C0D23D1A-9AEF-47B8-A47D-51390ABF5D22}"/>
    <hyperlink ref="P41" r:id="rId132" xr:uid="{1E2B3233-01F0-4E06-83D9-25D7859186F1}"/>
    <hyperlink ref="P82" r:id="rId133" xr:uid="{228775FB-DF29-4722-8DAF-BEC25E8AF5F6}"/>
    <hyperlink ref="P114" r:id="rId134" xr:uid="{0470A7FD-1149-4D7F-A7AF-601CF873D14F}"/>
    <hyperlink ref="P127" r:id="rId135" xr:uid="{8111DF4E-6DCA-4133-BB82-410307A17871}"/>
    <hyperlink ref="P126" r:id="rId136" xr:uid="{57E844E5-873B-4E9A-AEF5-F5DF2A1A94E8}"/>
    <hyperlink ref="P125" r:id="rId137" xr:uid="{3DD94A87-8C55-41C5-BAD6-37060083433D}"/>
    <hyperlink ref="P137" r:id="rId138" xr:uid="{27137C30-C101-4E9B-A8F1-C813E28C0082}"/>
    <hyperlink ref="P59" r:id="rId139" xr:uid="{C17558D1-A5B3-4E8A-BB53-984ACF7F3571}"/>
    <hyperlink ref="P107" r:id="rId140" xr:uid="{D7F8BAB4-9B17-42A2-BEC2-630E047D5687}"/>
    <hyperlink ref="P64" r:id="rId141" xr:uid="{9E99A7C1-E930-4522-B668-9609957A74E9}"/>
    <hyperlink ref="P55" r:id="rId142" xr:uid="{8404B421-9A7A-4370-9806-3128584A0371}"/>
    <hyperlink ref="P36" r:id="rId143" xr:uid="{8A870594-E048-415B-A7B7-30DF67C1190D}"/>
    <hyperlink ref="P139" r:id="rId144" xr:uid="{50C68C83-D640-4462-8244-03B4D469C9F9}"/>
    <hyperlink ref="P17" r:id="rId145" xr:uid="{3C5FA231-4F25-4644-8A8F-C953DB27C1BF}"/>
    <hyperlink ref="P16" r:id="rId146" xr:uid="{D70C3FE5-06BC-4BE8-AC39-F75509D9BC0E}"/>
    <hyperlink ref="P65" r:id="rId147" xr:uid="{5F648825-CD63-492C-B38A-74E0D60818E5}"/>
    <hyperlink ref="P134" r:id="rId148" xr:uid="{D17AC4BA-12D3-468C-BF83-0C05438AC45F}"/>
    <hyperlink ref="P8" r:id="rId149" xr:uid="{250B5D8E-4A8B-4A0F-B2E6-82969FC619EF}"/>
    <hyperlink ref="P51" r:id="rId150" xr:uid="{6B283F11-DECC-48C2-A83E-625A0AAB7EB9}"/>
    <hyperlink ref="P129" r:id="rId151" xr:uid="{E42C55C7-4905-4850-BD4F-2B5F3AD10156}"/>
    <hyperlink ref="P61" r:id="rId152" xr:uid="{5EC3E077-F9E8-4A0F-A366-DFA07C8DEBC0}"/>
    <hyperlink ref="P94" r:id="rId153" xr:uid="{5986FB70-4A22-40E4-BD01-333051131BAE}"/>
    <hyperlink ref="P80" r:id="rId154" xr:uid="{95FA38EE-383E-43E9-9C02-446E8C1BA7A4}"/>
    <hyperlink ref="P60" r:id="rId155" xr:uid="{FC97BAB1-1148-4E3E-A69B-D3EFA0FB49CA}"/>
    <hyperlink ref="P62" r:id="rId156" xr:uid="{A9E7B0B6-F2FE-4EDE-94EE-2D5F86F4B7A9}"/>
    <hyperlink ref="P57" r:id="rId157" xr:uid="{7ED56FE1-932E-4D1F-93CF-6583BE15C7BE}"/>
    <hyperlink ref="P115" r:id="rId158" xr:uid="{D737483B-52D2-41A7-BC73-3C06F06222AA}"/>
    <hyperlink ref="P31" r:id="rId159" xr:uid="{11A30EDD-C4AD-4D03-9439-83C5A653B2F6}"/>
    <hyperlink ref="P100" r:id="rId160" xr:uid="{0616C705-B6B7-499D-86ED-CBA1834CC2CD}"/>
    <hyperlink ref="P83" r:id="rId161" xr:uid="{B6B7C0C1-7390-4C58-BBAB-90A7E9380DDC}"/>
    <hyperlink ref="P151" r:id="rId162" xr:uid="{9360DD8F-1B1C-4C4C-A9D3-1BA30572C1DC}"/>
    <hyperlink ref="P27" r:id="rId163" xr:uid="{F1780E79-302E-4DB1-B5EA-0CAB105CDE17}"/>
    <hyperlink ref="P159" r:id="rId164" xr:uid="{3BC370A6-71BB-4A47-AF46-D9A9D2065F69}"/>
    <hyperlink ref="P104" r:id="rId165" xr:uid="{8159BE6D-F274-47D7-AF9A-CE86827B99E7}"/>
    <hyperlink ref="P88" r:id="rId166" xr:uid="{80213911-CE95-4E67-88B5-8A9A7AB10DDF}"/>
    <hyperlink ref="P18" r:id="rId167" xr:uid="{7EA41DA9-242D-49B9-BB6F-A22B58E967A5}"/>
    <hyperlink ref="P110" r:id="rId168" xr:uid="{10BBB70C-6B31-4313-83F6-378E7F94454C}"/>
    <hyperlink ref="P13" r:id="rId169" xr:uid="{6A9FBCBD-59F7-4CC7-BAC5-BE08A8343B26}"/>
    <hyperlink ref="P72" r:id="rId170" xr:uid="{54283421-9FC4-4507-9749-642EDF335909}"/>
    <hyperlink ref="P34" r:id="rId171" xr:uid="{0C8F51D5-C96C-4C57-8FD0-656B2BFDE9EE}"/>
    <hyperlink ref="P7" r:id="rId172" xr:uid="{18F96A8E-1496-4518-97E9-4798543C426D}"/>
    <hyperlink ref="Z7" r:id="rId173" xr:uid="{C9CB0DD7-DACE-4399-B320-0B8238ED17BF}"/>
    <hyperlink ref="V7" r:id="rId174" xr:uid="{EA9E6F91-3453-4F76-8C7D-B74C128B9F3D}"/>
    <hyperlink ref="Y7" r:id="rId175" xr:uid="{DD190A8B-3A81-4BB6-93AE-CE8ED26F8319}"/>
    <hyperlink ref="P22" r:id="rId176" xr:uid="{CBE39338-7CAF-464F-B1DE-6F8DBE4DE2E4}"/>
    <hyperlink ref="Z22" r:id="rId177" xr:uid="{7C588481-A09F-4F0C-8F87-49730A41A943}"/>
    <hyperlink ref="P47" r:id="rId178" xr:uid="{8BBEDA95-9D7B-4D5C-861D-6852F1445E6B}"/>
    <hyperlink ref="Z47" r:id="rId179" xr:uid="{C99B256C-5364-4A9D-B822-148601E870C8}"/>
    <hyperlink ref="P58" r:id="rId180" xr:uid="{4DF81583-80C9-4FB2-84AE-A8415DE087C5}"/>
    <hyperlink ref="Z58" r:id="rId181" xr:uid="{82A8C7DD-1FF5-479F-A8E1-3E968AAA8097}"/>
    <hyperlink ref="V58" r:id="rId182" xr:uid="{8CC32D15-1D4C-4624-89D5-54B6350C19FB}"/>
    <hyperlink ref="P194" r:id="rId183" xr:uid="{FBD1C290-2AD2-4B1B-88FC-E62A38246A8D}"/>
    <hyperlink ref="Z79" r:id="rId184" xr:uid="{D5B2ED12-1F20-44FA-8232-D60B68AF3002}"/>
    <hyperlink ref="Z122" r:id="rId185" xr:uid="{D03A1906-E5C8-491D-869F-B293B32985B2}"/>
    <hyperlink ref="P146" r:id="rId186" xr:uid="{0EF84351-EFD7-4CF2-AB5F-89D552BDD673}"/>
    <hyperlink ref="V86" r:id="rId187" xr:uid="{5E9B8B89-A365-4E67-B2C8-AC3A9255182A}"/>
    <hyperlink ref="P70" r:id="rId188" xr:uid="{C5630C5A-8EAF-411B-BC2F-91943AB9D02C}"/>
    <hyperlink ref="P120" r:id="rId189" xr:uid="{EB363CD2-358E-4A75-87F2-01A408745EB7}"/>
    <hyperlink ref="P6" r:id="rId190" xr:uid="{D2AF840C-2B5E-4F9C-991D-FF38F547A29B}"/>
    <hyperlink ref="P116" r:id="rId191" xr:uid="{3C3A9133-04C9-4159-ACBC-1226E8773B45}"/>
    <hyperlink ref="P156" r:id="rId192" xr:uid="{ED15ED87-C8E9-4301-9CEB-A5F403239AAD}"/>
    <hyperlink ref="V20" r:id="rId193" xr:uid="{CAA0CD34-A812-47F7-8F47-1808ACF2A413}"/>
    <hyperlink ref="P49" r:id="rId194" xr:uid="{C80635C5-0AB7-40B8-87EF-703482BFE267}"/>
    <hyperlink ref="Z49" r:id="rId195" xr:uid="{A740F945-D22F-4DA9-B6A8-86B653EEC83A}"/>
    <hyperlink ref="P24" r:id="rId196" xr:uid="{58849ACA-0492-4750-86ED-B67DEFCAEA4F}"/>
    <hyperlink ref="Z24" r:id="rId197" xr:uid="{DEEB05C6-AEA0-43DD-B9A4-0F1BD2C37DDD}"/>
    <hyperlink ref="V24" r:id="rId198" xr:uid="{21D65F67-FF75-4F60-9831-D78F5CD1AA8A}"/>
    <hyperlink ref="AD21" r:id="rId199" xr:uid="{C959C9F4-30F6-4ACD-BCC5-4B59BA26BBC6}"/>
    <hyperlink ref="V21" r:id="rId200" xr:uid="{CB6414D1-90F0-46AD-93E6-7F95D510DFDA}"/>
    <hyperlink ref="AD57" r:id="rId201" xr:uid="{AE747938-B2E0-4AE4-9CC4-88041EAC3B81}"/>
    <hyperlink ref="Z57" r:id="rId202" xr:uid="{71B6B23E-419E-4CF2-BCCA-D32FE0B47D5C}"/>
    <hyperlink ref="S57" r:id="rId203" xr:uid="{E19A8CA0-9193-4826-BB8B-D663A7E9C01B}"/>
    <hyperlink ref="AD69" r:id="rId204" xr:uid="{EAD8B3D8-A1D1-4B1B-A8EF-48BDF304C974}"/>
    <hyperlink ref="Z69" r:id="rId205" xr:uid="{199138CD-022C-40C1-A9CA-4987186E72FA}"/>
    <hyperlink ref="S69" r:id="rId206" xr:uid="{08D642CE-080F-4788-838C-65488499A3B8}"/>
    <hyperlink ref="AD93" r:id="rId207" xr:uid="{7F95CFE2-018F-434C-BE64-DA6236599ECB}"/>
    <hyperlink ref="Z93" r:id="rId208" xr:uid="{5FE890F6-6485-47B1-9A1A-767ADCDD5E08}"/>
    <hyperlink ref="S93" r:id="rId209" xr:uid="{BB16E5B1-0D12-4845-A8C2-33DDC68FEF3C}"/>
    <hyperlink ref="AD22" r:id="rId210" xr:uid="{D5B5679D-FD6A-4379-9F32-A7B1F7277E97}"/>
    <hyperlink ref="AD102" r:id="rId211" xr:uid="{1B57B7CF-EDB5-4FA2-B942-42E674D7E430}"/>
    <hyperlink ref="Z102" r:id="rId212" xr:uid="{BA8975A0-3D1A-4B87-A1AC-071FC642F434}"/>
    <hyperlink ref="AD76" r:id="rId213" xr:uid="{C1F3422D-36DF-488E-9B1A-FEDC3ACC826F}"/>
    <hyperlink ref="AD109" r:id="rId214" xr:uid="{15420A88-D4EC-41AB-828F-225F2B03D0FD}"/>
    <hyperlink ref="Z109" r:id="rId215" xr:uid="{08D473DC-9E4F-426B-9CC8-D4DA5C490CCB}"/>
    <hyperlink ref="AD122" r:id="rId216" xr:uid="{A9640854-B1AB-4DAD-B8E9-1FF1F03BFCCF}"/>
    <hyperlink ref="S122" r:id="rId217" xr:uid="{0926B140-5CA8-4016-B5AB-13B9BD8E260C}"/>
    <hyperlink ref="AD112" r:id="rId218" xr:uid="{09865BBC-0053-4DC7-A72A-898E08972835}"/>
    <hyperlink ref="Z112" r:id="rId219" xr:uid="{6F88FB6C-7EF8-447E-B34A-31B7A8F121FE}"/>
    <hyperlink ref="AD82" r:id="rId220" xr:uid="{FA6635AE-C144-4DE6-ACD1-266098F3C2F0}"/>
    <hyperlink ref="AD132" r:id="rId221" xr:uid="{368BE74D-F45C-4FA3-B2D1-4F057B0767C2}"/>
    <hyperlink ref="AD70" r:id="rId222" xr:uid="{D9565677-3631-4690-B9E7-F5AFAFB7DE17}"/>
    <hyperlink ref="AD129" r:id="rId223" xr:uid="{7A9FA24A-BAF5-4AB7-8AFF-6D96FCB7A8F6}"/>
    <hyperlink ref="AD90" r:id="rId224" xr:uid="{7EA8E480-3ED3-4862-9802-F84046B06B51}"/>
    <hyperlink ref="AD18" r:id="rId225" xr:uid="{6129B39E-6E42-47C7-BAC3-B2804DB685DC}"/>
    <hyperlink ref="AD75" r:id="rId226" xr:uid="{7B2EBDF5-65E3-4523-8D43-A18F532FC850}"/>
    <hyperlink ref="AD89" r:id="rId227" xr:uid="{A948C315-E577-400C-8125-1BA67EF7336C}"/>
    <hyperlink ref="AD56" r:id="rId228" xr:uid="{22AC6767-B15B-471B-9CEB-F32668ABC8A4}"/>
    <hyperlink ref="AD138" r:id="rId229" xr:uid="{998B7CA7-4283-440B-A059-E1ADDB561233}"/>
    <hyperlink ref="AD67" r:id="rId230" xr:uid="{3F9DD5D5-ADAC-4DF4-8691-2139D9B8AC09}"/>
    <hyperlink ref="AD4" r:id="rId231" xr:uid="{CFC74F37-2E32-470B-8A0E-030837DB0518}"/>
    <hyperlink ref="AD160" r:id="rId232" xr:uid="{1BADA251-1C45-45CF-AA0C-DB490DAFA2EB}"/>
    <hyperlink ref="Z160" r:id="rId233" xr:uid="{DF2C3D9E-0018-442E-B88D-95D0EE9AE540}"/>
    <hyperlink ref="AD19" r:id="rId234" xr:uid="{83C50171-657A-4B93-A137-7D279B4F9319}"/>
    <hyperlink ref="AD11" r:id="rId235" xr:uid="{E8062B38-0718-4EBC-917C-0CD16B73C845}"/>
    <hyperlink ref="AD28" r:id="rId236" xr:uid="{E8CE867E-DA0F-4FC0-9F54-72C65B2DE545}"/>
    <hyperlink ref="AD77" r:id="rId237" xr:uid="{25D096F2-6ED4-4B80-A687-F310506AA9EF}"/>
    <hyperlink ref="AD62" r:id="rId238" xr:uid="{6602E7CD-139D-49A5-AE59-862657BFBDE1}"/>
    <hyperlink ref="AD36" r:id="rId239" xr:uid="{BBF95BB3-3D06-4758-8B7D-D4CBA9E1A5C0}"/>
    <hyperlink ref="AD64" r:id="rId240" xr:uid="{C79792F9-43B8-4E57-BC87-4E33CDBDB410}"/>
    <hyperlink ref="AD97" r:id="rId241" xr:uid="{19F97EE1-52FF-4660-BEBD-679D138EA36B}"/>
    <hyperlink ref="AD101" r:id="rId242" xr:uid="{5141B82F-9156-48AE-B3EC-254F17DAA82D}"/>
    <hyperlink ref="Y151" r:id="rId243" xr:uid="{5B7EDC2D-5067-49A4-98F5-46B6A3D04C0D}"/>
    <hyperlink ref="AD119" r:id="rId244" xr:uid="{56EE8949-8300-4F77-8E2E-BC90D3D70AB7}"/>
    <hyperlink ref="AD121" r:id="rId245" xr:uid="{B61DCB6A-DB4F-4FA8-839F-92B13ECB6B55}"/>
    <hyperlink ref="AD120" r:id="rId246" xr:uid="{D5407355-966C-4249-B677-6015FBA1D464}"/>
    <hyperlink ref="Z120" r:id="rId247" xr:uid="{B282753C-60DF-4DE2-A3AE-1567217D5239}"/>
    <hyperlink ref="AD118" r:id="rId248" xr:uid="{A5813E87-5A1C-4B21-B7A7-F55B35992F30}"/>
    <hyperlink ref="AD146" r:id="rId249" xr:uid="{6AF41507-C64A-4BC7-9CCB-424B9B157C86}"/>
    <hyperlink ref="AD2" r:id="rId250" xr:uid="{0CF14F36-99C1-495D-A905-7B4B44120109}"/>
    <hyperlink ref="AD157" r:id="rId251" xr:uid="{538748D4-FF39-4CF4-812C-0018536823EE}"/>
    <hyperlink ref="Z157" r:id="rId252" xr:uid="{6681772F-352A-44AC-BA00-2362C0236E5E}"/>
    <hyperlink ref="AD35" r:id="rId253" xr:uid="{4133EEF4-EBA4-4A22-836A-784B60080454}"/>
    <hyperlink ref="AD91" r:id="rId254" xr:uid="{F69CE78E-2F4F-493D-B991-8B052AE6D526}"/>
    <hyperlink ref="Z30" r:id="rId255" xr:uid="{28C384AB-F940-4BD3-898B-CBD1A9B161CF}"/>
    <hyperlink ref="AD139" r:id="rId256" xr:uid="{234439BD-2346-40C1-BE56-5E2B03BCE1B5}"/>
    <hyperlink ref="Z8" r:id="rId257" xr:uid="{6E50C8EE-9C4E-423E-915E-4B5D16D5D201}"/>
    <hyperlink ref="AD10" r:id="rId258" xr:uid="{B50937EB-29CB-4DA3-BC26-265E9244D468}"/>
    <hyperlink ref="AD20" r:id="rId259" xr:uid="{CF70BADF-A9D5-4DDC-A09D-FBC03DF0C5A5}"/>
    <hyperlink ref="Z27" r:id="rId260" xr:uid="{7E134CFC-AA3B-460D-A335-B99C7EBF277E}"/>
    <hyperlink ref="AD25" r:id="rId261" xr:uid="{38688CD9-8F02-4AFE-A1C2-6297152D8D56}"/>
    <hyperlink ref="AD12" r:id="rId262" xr:uid="{00AD4532-5A5B-4AED-8615-997A19E127BB}"/>
    <hyperlink ref="AD34" r:id="rId263" xr:uid="{EDF7A701-3E19-4FA4-A32C-265A9CDA4ED4}"/>
    <hyperlink ref="AD16" r:id="rId264" xr:uid="{43B54A1C-1242-4F53-B62B-F5A3ADEF929D}"/>
    <hyperlink ref="S60" r:id="rId265" xr:uid="{AFB4C11C-6490-47D9-8AD7-68A71953CC6D}"/>
    <hyperlink ref="P26" r:id="rId266" xr:uid="{A21BC775-3047-4D22-8A7C-F5B967A371DB}"/>
    <hyperlink ref="V5" r:id="rId267" xr:uid="{C4C151B1-12AF-4BD9-9C72-7AC5B44EDC8E}"/>
    <hyperlink ref="P29" r:id="rId268" xr:uid="{67DB85F6-1CE5-44F4-8373-C133220FF884}"/>
    <hyperlink ref="P149" r:id="rId269" xr:uid="{5C2D0D91-0428-497E-973B-44C89F07A66E}"/>
    <hyperlink ref="S152" r:id="rId270" xr:uid="{49CBE3E0-C89D-4EB2-A12D-376857057CCE}"/>
    <hyperlink ref="Z125" r:id="rId271" xr:uid="{882F08D3-342C-46E4-94E0-E9751B6797DD}"/>
    <hyperlink ref="AD55" r:id="rId272" xr:uid="{965B161A-AF9D-45F1-A171-FEEC311770B4}"/>
    <hyperlink ref="Z55" r:id="rId273" xr:uid="{2AA276F6-05D1-4645-8A76-A83B095ABA36}"/>
    <hyperlink ref="AD73" r:id="rId274" xr:uid="{797F7EE2-A3E4-44CA-ACE9-2C78AF3DA090}"/>
    <hyperlink ref="AD6" r:id="rId275" xr:uid="{41ED5A82-9F52-4754-BD22-B866C7B82137}"/>
    <hyperlink ref="AD3" r:id="rId276" xr:uid="{CBDCB8AE-3043-44F3-9B96-A1F620ED7AAD}"/>
    <hyperlink ref="AH48" r:id="rId277" xr:uid="{D78DEAB3-21CE-439A-93EA-1F72DCA24097}"/>
    <hyperlink ref="S38" r:id="rId278" xr:uid="{11AA9143-8573-4991-A771-1261C23F7FFE}"/>
    <hyperlink ref="P109" r:id="rId279" xr:uid="{1BF654BA-29E4-4C68-88CC-67E8FABE742A}"/>
    <hyperlink ref="P101" r:id="rId280" xr:uid="{B70AC77A-E915-4B41-B332-6727D5BE0815}"/>
    <hyperlink ref="P157" r:id="rId281" xr:uid="{A96E8B2E-D49D-4FF4-BCCD-9B5AAB4E1BA3}"/>
    <hyperlink ref="P122" r:id="rId282" xr:uid="{6C7C1679-3565-40CF-BE6E-FE428ADC4A22}"/>
    <hyperlink ref="AD95" r:id="rId283" xr:uid="{EDBF83EC-9DE2-4F3F-83FB-3259A9A875A1}"/>
    <hyperlink ref="AD14" r:id="rId284" xr:uid="{1BAA2CED-4321-435A-857E-903A842D71D5}"/>
    <hyperlink ref="AD127" r:id="rId285" xr:uid="{9098EFCB-382F-468A-BD5B-331846FB881C}"/>
    <hyperlink ref="AD15" r:id="rId286" xr:uid="{BCD8D749-D9FA-488A-A042-1F99F004103E}"/>
    <hyperlink ref="AD144" r:id="rId287" xr:uid="{D67325B6-E1B3-43BE-ABCF-2C037B9D74AE}"/>
    <hyperlink ref="AD134" r:id="rId288" xr:uid="{3AF48985-237E-4497-9F1C-CF2F82782EAD}"/>
    <hyperlink ref="AD41" r:id="rId289" xr:uid="{C7DF7BAC-C36E-4471-B1A5-88C0A99DEB29}"/>
    <hyperlink ref="AD96" r:id="rId290" xr:uid="{0743229D-EE1F-47CF-9CB6-0BC193D7D518}"/>
    <hyperlink ref="AD86" r:id="rId291" xr:uid="{79655D54-1247-4F1A-8823-6C1321E2CE42}"/>
    <hyperlink ref="P79" r:id="rId292" xr:uid="{01A23F10-34BE-402E-B012-62B25BE267FE}"/>
  </hyperlinks>
  <pageMargins left="0.7" right="0.7" top="0.75" bottom="0.75" header="0.3" footer="0.3"/>
  <pageSetup orientation="portrait" r:id="rId293"/>
  <legacyDrawing r:id="rId29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DEAFE-F3D4-418F-81E2-4878E697C4EF}">
  <dimension ref="A1:I36"/>
  <sheetViews>
    <sheetView tabSelected="1" zoomScale="90" zoomScaleNormal="90" workbookViewId="0">
      <selection activeCell="A29" sqref="A29"/>
    </sheetView>
  </sheetViews>
  <sheetFormatPr baseColWidth="10" defaultColWidth="11.44140625" defaultRowHeight="14.4"/>
  <cols>
    <col min="1" max="2" width="38.109375" customWidth="1"/>
    <col min="3" max="5" width="21.6640625" customWidth="1"/>
    <col min="9" max="9" width="13.88671875" bestFit="1" customWidth="1"/>
  </cols>
  <sheetData>
    <row r="1" spans="1:9">
      <c r="A1" s="25" t="s">
        <v>1983</v>
      </c>
      <c r="B1" s="26" t="s">
        <v>1984</v>
      </c>
      <c r="C1" s="26" t="s">
        <v>1985</v>
      </c>
      <c r="D1" s="28" t="s">
        <v>1986</v>
      </c>
      <c r="E1" s="27" t="s">
        <v>1987</v>
      </c>
    </row>
    <row r="2" spans="1:9">
      <c r="A2" s="323" t="s">
        <v>118</v>
      </c>
      <c r="B2" s="90" t="s">
        <v>36</v>
      </c>
      <c r="C2" s="92" t="s">
        <v>37</v>
      </c>
      <c r="D2" s="96">
        <v>2000</v>
      </c>
      <c r="E2" s="95">
        <v>45915</v>
      </c>
      <c r="G2" t="s">
        <v>1989</v>
      </c>
      <c r="H2">
        <v>13</v>
      </c>
      <c r="I2" s="98">
        <v>26700</v>
      </c>
    </row>
    <row r="3" spans="1:9">
      <c r="A3" s="323" t="s">
        <v>319</v>
      </c>
      <c r="B3" s="90" t="s">
        <v>89</v>
      </c>
      <c r="C3" s="92" t="s">
        <v>90</v>
      </c>
      <c r="D3" s="96">
        <v>2500</v>
      </c>
      <c r="E3" s="95">
        <v>45848</v>
      </c>
      <c r="G3" t="s">
        <v>1990</v>
      </c>
      <c r="H3">
        <v>21</v>
      </c>
      <c r="I3" s="98">
        <v>41700</v>
      </c>
    </row>
    <row r="4" spans="1:9">
      <c r="A4" s="323" t="s">
        <v>335</v>
      </c>
      <c r="B4" s="90" t="s">
        <v>89</v>
      </c>
      <c r="C4" s="92" t="s">
        <v>90</v>
      </c>
      <c r="D4" s="96">
        <v>1500</v>
      </c>
      <c r="E4" s="95">
        <v>45915</v>
      </c>
      <c r="H4" s="100">
        <f>SUM(H2:H3)</f>
        <v>34</v>
      </c>
      <c r="I4" s="99">
        <f>SUM(I2:I3)</f>
        <v>68400</v>
      </c>
    </row>
    <row r="5" spans="1:9">
      <c r="A5" s="323" t="s">
        <v>360</v>
      </c>
      <c r="B5" s="90" t="s">
        <v>59</v>
      </c>
      <c r="C5" s="92" t="s">
        <v>37</v>
      </c>
      <c r="D5" s="96">
        <v>2000</v>
      </c>
      <c r="E5" s="95">
        <v>45931</v>
      </c>
    </row>
    <row r="6" spans="1:9">
      <c r="A6" s="323" t="s">
        <v>1995</v>
      </c>
      <c r="B6" s="90" t="s">
        <v>89</v>
      </c>
      <c r="C6" s="92" t="s">
        <v>90</v>
      </c>
      <c r="D6" s="96">
        <v>1500</v>
      </c>
      <c r="E6" s="95">
        <v>45858</v>
      </c>
    </row>
    <row r="7" spans="1:9">
      <c r="A7" s="323" t="s">
        <v>435</v>
      </c>
      <c r="B7" s="90" t="s">
        <v>1996</v>
      </c>
      <c r="C7" s="92" t="s">
        <v>37</v>
      </c>
      <c r="D7" s="96">
        <v>2500</v>
      </c>
      <c r="E7" s="95">
        <v>45874</v>
      </c>
    </row>
    <row r="8" spans="1:9">
      <c r="A8" s="323" t="s">
        <v>498</v>
      </c>
      <c r="B8" s="90" t="s">
        <v>36</v>
      </c>
      <c r="C8" s="92" t="s">
        <v>37</v>
      </c>
      <c r="D8" s="96">
        <v>2000</v>
      </c>
      <c r="E8" s="95">
        <v>45889</v>
      </c>
    </row>
    <row r="9" spans="1:9">
      <c r="A9" s="323" t="s">
        <v>1988</v>
      </c>
      <c r="B9" s="90" t="s">
        <v>212</v>
      </c>
      <c r="C9" s="91" t="s">
        <v>37</v>
      </c>
      <c r="D9" s="93">
        <v>2500</v>
      </c>
      <c r="E9" s="94">
        <v>45672</v>
      </c>
    </row>
    <row r="10" spans="1:9">
      <c r="A10" s="323" t="s">
        <v>627</v>
      </c>
      <c r="B10" s="90" t="s">
        <v>160</v>
      </c>
      <c r="C10" s="92" t="s">
        <v>37</v>
      </c>
      <c r="D10" s="96">
        <v>1000</v>
      </c>
      <c r="E10" s="95">
        <v>45853</v>
      </c>
    </row>
    <row r="11" spans="1:9">
      <c r="A11" s="323" t="s">
        <v>1997</v>
      </c>
      <c r="B11" s="90" t="s">
        <v>160</v>
      </c>
      <c r="C11" s="92" t="s">
        <v>37</v>
      </c>
      <c r="D11" s="96">
        <v>2000</v>
      </c>
      <c r="E11" s="95">
        <v>45884</v>
      </c>
    </row>
    <row r="12" spans="1:9">
      <c r="A12" s="323" t="s">
        <v>647</v>
      </c>
      <c r="B12" s="90" t="s">
        <v>1999</v>
      </c>
      <c r="C12" s="92" t="s">
        <v>37</v>
      </c>
      <c r="D12" s="96">
        <v>2000</v>
      </c>
      <c r="E12" s="95">
        <v>45915</v>
      </c>
    </row>
    <row r="13" spans="1:9">
      <c r="A13" s="323" t="s">
        <v>665</v>
      </c>
      <c r="B13" s="90" t="s">
        <v>2000</v>
      </c>
      <c r="C13" s="92" t="s">
        <v>37</v>
      </c>
      <c r="D13" s="96">
        <v>2500</v>
      </c>
      <c r="E13" s="95">
        <v>45971</v>
      </c>
    </row>
    <row r="14" spans="1:9">
      <c r="A14" s="323" t="s">
        <v>964</v>
      </c>
      <c r="B14" s="90" t="s">
        <v>89</v>
      </c>
      <c r="C14" s="91" t="s">
        <v>90</v>
      </c>
      <c r="D14" s="93">
        <v>2500</v>
      </c>
      <c r="E14" s="94">
        <v>45778</v>
      </c>
    </row>
    <row r="15" spans="1:9">
      <c r="A15" s="323" t="s">
        <v>989</v>
      </c>
      <c r="B15" s="90" t="s">
        <v>160</v>
      </c>
      <c r="C15" s="91" t="s">
        <v>37</v>
      </c>
      <c r="D15" s="93">
        <v>1000</v>
      </c>
      <c r="E15" s="94">
        <v>45778</v>
      </c>
    </row>
    <row r="16" spans="1:9">
      <c r="A16" s="323" t="s">
        <v>1014</v>
      </c>
      <c r="B16" s="90" t="s">
        <v>1999</v>
      </c>
      <c r="C16" s="92" t="s">
        <v>37</v>
      </c>
      <c r="D16" s="96">
        <v>2500</v>
      </c>
      <c r="E16" s="95">
        <v>45901</v>
      </c>
    </row>
    <row r="17" spans="1:5">
      <c r="A17" s="323" t="s">
        <v>2064</v>
      </c>
      <c r="B17" s="90" t="s">
        <v>1373</v>
      </c>
      <c r="C17" s="92" t="s">
        <v>37</v>
      </c>
      <c r="D17" s="96">
        <v>2000</v>
      </c>
      <c r="E17" s="94">
        <v>45746</v>
      </c>
    </row>
    <row r="18" spans="1:5">
      <c r="A18" s="323" t="s">
        <v>1179</v>
      </c>
      <c r="B18" s="90" t="s">
        <v>160</v>
      </c>
      <c r="C18" s="92" t="s">
        <v>37</v>
      </c>
      <c r="D18" s="96">
        <v>1700</v>
      </c>
      <c r="E18" s="95">
        <v>45884</v>
      </c>
    </row>
    <row r="19" spans="1:5">
      <c r="A19" s="323" t="s">
        <v>1286</v>
      </c>
      <c r="B19" s="90" t="s">
        <v>36</v>
      </c>
      <c r="C19" s="91" t="s">
        <v>37</v>
      </c>
      <c r="D19" s="93">
        <v>2000</v>
      </c>
      <c r="E19" s="94">
        <v>45762</v>
      </c>
    </row>
    <row r="20" spans="1:5">
      <c r="A20" s="323" t="s">
        <v>1991</v>
      </c>
      <c r="B20" s="90" t="s">
        <v>1373</v>
      </c>
      <c r="C20" s="91" t="s">
        <v>37</v>
      </c>
      <c r="D20" s="93">
        <v>2500</v>
      </c>
      <c r="E20" s="94">
        <v>45703</v>
      </c>
    </row>
    <row r="21" spans="1:5">
      <c r="A21" s="323" t="s">
        <v>1371</v>
      </c>
      <c r="B21" s="323" t="s">
        <v>89</v>
      </c>
      <c r="C21" s="324" t="s">
        <v>90</v>
      </c>
    </row>
    <row r="22" spans="1:5">
      <c r="A22" s="323" t="s">
        <v>1506</v>
      </c>
      <c r="B22" s="90" t="s">
        <v>698</v>
      </c>
      <c r="C22" s="91" t="s">
        <v>90</v>
      </c>
      <c r="D22" s="96"/>
      <c r="E22" s="94"/>
    </row>
    <row r="23" spans="1:5">
      <c r="A23" s="323" t="s">
        <v>1549</v>
      </c>
      <c r="B23" s="90" t="s">
        <v>36</v>
      </c>
      <c r="C23" s="92" t="s">
        <v>37</v>
      </c>
      <c r="D23" s="96"/>
      <c r="E23" s="95"/>
    </row>
    <row r="24" spans="1:5">
      <c r="A24" s="323" t="s">
        <v>1646</v>
      </c>
      <c r="B24" s="90" t="s">
        <v>89</v>
      </c>
      <c r="C24" s="91" t="s">
        <v>90</v>
      </c>
      <c r="D24" s="93"/>
      <c r="E24" s="95"/>
    </row>
    <row r="25" spans="1:5">
      <c r="A25" s="323" t="s">
        <v>1657</v>
      </c>
      <c r="B25" s="90" t="s">
        <v>89</v>
      </c>
      <c r="C25" s="91" t="s">
        <v>90</v>
      </c>
      <c r="D25" s="93"/>
      <c r="E25" s="95"/>
    </row>
    <row r="26" spans="1:5">
      <c r="A26" s="323" t="s">
        <v>1992</v>
      </c>
      <c r="B26" s="90" t="s">
        <v>89</v>
      </c>
      <c r="C26" s="91" t="s">
        <v>90</v>
      </c>
      <c r="D26" s="93"/>
      <c r="E26" s="94"/>
    </row>
    <row r="27" spans="1:5">
      <c r="A27" s="323" t="s">
        <v>1994</v>
      </c>
      <c r="B27" s="90" t="s">
        <v>89</v>
      </c>
      <c r="C27" s="92" t="s">
        <v>90</v>
      </c>
      <c r="D27" s="96"/>
      <c r="E27" s="95"/>
    </row>
    <row r="28" spans="1:5">
      <c r="A28" s="323" t="s">
        <v>1711</v>
      </c>
      <c r="B28" s="90" t="s">
        <v>89</v>
      </c>
      <c r="C28" s="92" t="s">
        <v>90</v>
      </c>
      <c r="D28" s="96"/>
      <c r="E28" s="94"/>
    </row>
    <row r="29" spans="1:5">
      <c r="A29" s="323" t="s">
        <v>1730</v>
      </c>
      <c r="B29" s="90" t="s">
        <v>89</v>
      </c>
      <c r="C29" s="91" t="s">
        <v>90</v>
      </c>
      <c r="D29" s="93"/>
      <c r="E29" s="94"/>
    </row>
    <row r="30" spans="1:5">
      <c r="A30" s="323" t="s">
        <v>1814</v>
      </c>
      <c r="B30" s="90" t="s">
        <v>36</v>
      </c>
      <c r="C30" s="91" t="s">
        <v>37</v>
      </c>
      <c r="D30" s="93"/>
      <c r="E30" s="94"/>
    </row>
    <row r="31" spans="1:5">
      <c r="A31" s="323" t="s">
        <v>1837</v>
      </c>
      <c r="B31" s="90" t="s">
        <v>1993</v>
      </c>
      <c r="C31" s="91" t="s">
        <v>37</v>
      </c>
      <c r="D31" s="93"/>
      <c r="E31" s="94"/>
    </row>
    <row r="32" spans="1:5">
      <c r="A32" s="323" t="s">
        <v>1850</v>
      </c>
      <c r="B32" s="90" t="s">
        <v>89</v>
      </c>
      <c r="C32" s="92" t="s">
        <v>90</v>
      </c>
      <c r="D32" s="96"/>
      <c r="E32" s="95"/>
    </row>
    <row r="33" spans="1:5">
      <c r="A33" s="323" t="s">
        <v>1892</v>
      </c>
      <c r="B33" s="90" t="s">
        <v>1998</v>
      </c>
      <c r="C33" s="92" t="s">
        <v>37</v>
      </c>
      <c r="D33" s="96"/>
      <c r="E33" s="95"/>
    </row>
    <row r="34" spans="1:5">
      <c r="A34" s="323" t="s">
        <v>1927</v>
      </c>
      <c r="B34" s="90" t="s">
        <v>1993</v>
      </c>
      <c r="C34" s="92" t="s">
        <v>37</v>
      </c>
      <c r="D34" s="96"/>
      <c r="E34" s="95"/>
    </row>
    <row r="35" spans="1:5">
      <c r="A35" s="323" t="s">
        <v>1937</v>
      </c>
      <c r="B35" s="90" t="s">
        <v>131</v>
      </c>
      <c r="C35" s="92" t="s">
        <v>37</v>
      </c>
      <c r="D35" s="96"/>
      <c r="E35" s="95"/>
    </row>
    <row r="36" spans="1:5">
      <c r="D36" s="97">
        <f>SUM(D2:D35)</f>
        <v>38200</v>
      </c>
    </row>
  </sheetData>
  <autoFilter ref="A1:E36" xr:uid="{E4CDEAFE-F3D4-418F-81E2-4878E697C4EF}">
    <sortState xmlns:xlrd2="http://schemas.microsoft.com/office/spreadsheetml/2017/richdata2" ref="A2:E36">
      <sortCondition ref="A1:A36"/>
    </sortState>
  </autoFilter>
  <pageMargins left="0.7" right="0.7" top="0.75" bottom="0.75" header="0.3" footer="0.3"/>
  <pageSetup paperSize="9" scale="95" orientation="portrait" r:id="rId1"/>
  <colBreaks count="1" manualBreakCount="1">
    <brk id="3" max="3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A131F-9824-4972-ABF7-E9D50E27521B}">
  <dimension ref="A1:AW5"/>
  <sheetViews>
    <sheetView zoomScale="70" zoomScaleNormal="70" workbookViewId="0">
      <selection activeCell="F5" sqref="E5:F5"/>
    </sheetView>
  </sheetViews>
  <sheetFormatPr baseColWidth="10" defaultColWidth="10.6640625" defaultRowHeight="14.4"/>
  <cols>
    <col min="1" max="1" width="23.33203125" customWidth="1"/>
    <col min="2" max="2" width="20.5546875" customWidth="1"/>
    <col min="3" max="3" width="16.6640625" bestFit="1" customWidth="1"/>
    <col min="4" max="4" width="26.88671875" bestFit="1" customWidth="1"/>
    <col min="5" max="5" width="17.33203125" bestFit="1" customWidth="1"/>
    <col min="6" max="6" width="32.44140625" bestFit="1" customWidth="1"/>
    <col min="8" max="8" width="17.44140625" bestFit="1" customWidth="1"/>
    <col min="9" max="9" width="16.6640625" bestFit="1" customWidth="1"/>
    <col min="10" max="10" width="16.44140625" customWidth="1"/>
  </cols>
  <sheetData>
    <row r="1" spans="1:49" s="19" customFormat="1">
      <c r="A1" s="10" t="s">
        <v>0</v>
      </c>
      <c r="B1" s="10" t="s">
        <v>2001</v>
      </c>
      <c r="C1" s="10" t="s">
        <v>13</v>
      </c>
      <c r="D1" s="10" t="s">
        <v>14</v>
      </c>
      <c r="E1" s="10" t="s">
        <v>16</v>
      </c>
      <c r="F1" s="10" t="s">
        <v>17</v>
      </c>
      <c r="G1" s="11" t="s">
        <v>25</v>
      </c>
      <c r="H1" s="12" t="s">
        <v>2002</v>
      </c>
      <c r="I1" s="21" t="s">
        <v>28</v>
      </c>
      <c r="J1" s="10" t="s">
        <v>2003</v>
      </c>
    </row>
    <row r="2" spans="1:49" s="19" customFormat="1" ht="29.4" customHeight="1">
      <c r="A2" s="13" t="s">
        <v>2004</v>
      </c>
      <c r="B2" s="14" t="s">
        <v>2005</v>
      </c>
      <c r="C2" s="24" t="s">
        <v>2006</v>
      </c>
      <c r="D2" s="15" t="s">
        <v>2007</v>
      </c>
      <c r="E2" s="13"/>
      <c r="F2" s="15"/>
      <c r="G2" s="22" t="s">
        <v>2008</v>
      </c>
      <c r="H2" s="17" t="s">
        <v>2009</v>
      </c>
      <c r="I2" s="17" t="s">
        <v>2010</v>
      </c>
      <c r="J2" s="18" t="s">
        <v>57</v>
      </c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</row>
    <row r="3" spans="1:49" s="20" customFormat="1" ht="22.5" customHeight="1">
      <c r="A3" s="13" t="s">
        <v>2011</v>
      </c>
      <c r="B3" s="14" t="s">
        <v>160</v>
      </c>
      <c r="C3" s="18" t="s">
        <v>2012</v>
      </c>
      <c r="D3" s="15" t="s">
        <v>2013</v>
      </c>
      <c r="E3" s="36" t="s">
        <v>2014</v>
      </c>
      <c r="F3" s="39" t="s">
        <v>2015</v>
      </c>
      <c r="G3" s="22" t="s">
        <v>2016</v>
      </c>
      <c r="H3" s="16" t="s">
        <v>2017</v>
      </c>
      <c r="I3" s="16" t="s">
        <v>2018</v>
      </c>
      <c r="J3" s="18" t="s">
        <v>157</v>
      </c>
    </row>
    <row r="4" spans="1:49" s="20" customFormat="1" ht="22.5" customHeight="1">
      <c r="A4" s="13" t="s">
        <v>2019</v>
      </c>
      <c r="B4" s="14" t="s">
        <v>160</v>
      </c>
      <c r="C4" s="14" t="s">
        <v>2020</v>
      </c>
      <c r="D4" s="14" t="s">
        <v>2021</v>
      </c>
      <c r="E4" s="14" t="s">
        <v>2022</v>
      </c>
      <c r="F4" s="14" t="s">
        <v>2023</v>
      </c>
      <c r="G4" s="23" t="s">
        <v>2024</v>
      </c>
      <c r="H4" s="16" t="s">
        <v>2025</v>
      </c>
      <c r="I4" s="16" t="s">
        <v>2026</v>
      </c>
      <c r="J4" s="18" t="s">
        <v>88</v>
      </c>
    </row>
    <row r="5" spans="1:49" s="36" customFormat="1" ht="22.5" customHeight="1">
      <c r="A5" s="75" t="s">
        <v>2027</v>
      </c>
      <c r="B5" s="30" t="s">
        <v>89</v>
      </c>
      <c r="C5" s="30" t="s">
        <v>90</v>
      </c>
      <c r="D5" s="118" t="s">
        <v>266</v>
      </c>
      <c r="E5" s="29" t="s">
        <v>2028</v>
      </c>
      <c r="F5" s="40" t="s">
        <v>2029</v>
      </c>
      <c r="G5" s="207"/>
      <c r="H5" s="37"/>
      <c r="I5" s="37"/>
      <c r="J5" s="195"/>
      <c r="K5" s="29"/>
      <c r="L5" s="33"/>
      <c r="M5" s="55" t="s">
        <v>2030</v>
      </c>
      <c r="N5" s="35" t="s">
        <v>2031</v>
      </c>
      <c r="O5" s="35"/>
      <c r="P5" s="35" t="s">
        <v>2032</v>
      </c>
      <c r="Q5" s="35"/>
      <c r="R5" s="36" t="s">
        <v>54</v>
      </c>
      <c r="S5" s="36" t="s">
        <v>2033</v>
      </c>
    </row>
  </sheetData>
  <hyperlinks>
    <hyperlink ref="D2" r:id="rId1" xr:uid="{E6D6054D-840A-4235-A641-9A0A0B61AE0C}"/>
    <hyperlink ref="D3" r:id="rId2" xr:uid="{C238595E-4C8E-4039-B40A-E07254D6E043}"/>
    <hyperlink ref="F3" r:id="rId3" xr:uid="{8B47571E-2A25-47BB-82FD-6CFF0CD303F7}"/>
    <hyperlink ref="F5" r:id="rId4" xr:uid="{E8E1227C-F94E-434A-80DB-3FFF411279A2}"/>
    <hyperlink ref="D5" r:id="rId5" xr:uid="{8E6E4F0A-8993-4623-9505-F6B67BAC3ADF}"/>
  </hyperlinks>
  <pageMargins left="0.7" right="0.7" top="0.75" bottom="0.75" header="0.3" footer="0.3"/>
  <legacy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8D32A-D323-4A1B-9BCD-A1C7F59B54EB}">
  <dimension ref="A1:B26"/>
  <sheetViews>
    <sheetView topLeftCell="A16" zoomScaleNormal="100" workbookViewId="0">
      <selection sqref="A1:B1"/>
    </sheetView>
  </sheetViews>
  <sheetFormatPr baseColWidth="10" defaultColWidth="11.44140625" defaultRowHeight="14.4"/>
  <cols>
    <col min="1" max="1" width="45" customWidth="1"/>
    <col min="2" max="2" width="22.88671875" customWidth="1"/>
  </cols>
  <sheetData>
    <row r="1" spans="1:2" ht="19.8">
      <c r="A1" s="322" t="s">
        <v>2034</v>
      </c>
      <c r="B1" s="322"/>
    </row>
    <row r="2" spans="1:2" ht="19.8">
      <c r="A2" s="1" t="s">
        <v>0</v>
      </c>
      <c r="B2" s="1" t="s">
        <v>2035</v>
      </c>
    </row>
    <row r="3" spans="1:2" ht="19.8">
      <c r="A3" s="2" t="s">
        <v>2036</v>
      </c>
      <c r="B3" s="3">
        <v>45324</v>
      </c>
    </row>
    <row r="4" spans="1:2" ht="19.8">
      <c r="A4" s="5" t="s">
        <v>2037</v>
      </c>
      <c r="B4" s="6">
        <v>45330</v>
      </c>
    </row>
    <row r="5" spans="1:2" ht="19.8">
      <c r="A5" s="5" t="s">
        <v>2038</v>
      </c>
      <c r="B5" s="6">
        <v>45339</v>
      </c>
    </row>
    <row r="6" spans="1:2" ht="19.8">
      <c r="A6" s="5" t="s">
        <v>2039</v>
      </c>
      <c r="B6" s="6">
        <v>45342</v>
      </c>
    </row>
    <row r="7" spans="1:2" ht="19.8">
      <c r="A7" s="7" t="s">
        <v>1919</v>
      </c>
      <c r="B7" s="6">
        <v>45365</v>
      </c>
    </row>
    <row r="8" spans="1:2" ht="19.8">
      <c r="A8" s="7" t="s">
        <v>1259</v>
      </c>
      <c r="B8" s="6">
        <v>45385</v>
      </c>
    </row>
    <row r="9" spans="1:2" ht="19.8">
      <c r="A9" s="2" t="s">
        <v>2040</v>
      </c>
      <c r="B9" s="3">
        <v>45422</v>
      </c>
    </row>
    <row r="10" spans="1:2" ht="19.8">
      <c r="A10" s="2" t="s">
        <v>2041</v>
      </c>
      <c r="B10" s="3">
        <v>45433</v>
      </c>
    </row>
    <row r="11" spans="1:2" ht="19.8">
      <c r="A11" s="2" t="s">
        <v>563</v>
      </c>
      <c r="B11" s="3">
        <v>45443</v>
      </c>
    </row>
    <row r="12" spans="1:2" ht="19.8">
      <c r="A12" s="2" t="s">
        <v>2042</v>
      </c>
      <c r="B12" s="3">
        <v>45455</v>
      </c>
    </row>
    <row r="13" spans="1:2" ht="19.8">
      <c r="A13" s="2" t="s">
        <v>1753</v>
      </c>
      <c r="B13" s="3">
        <v>45460</v>
      </c>
    </row>
    <row r="14" spans="1:2" ht="19.8">
      <c r="A14" s="2" t="s">
        <v>2043</v>
      </c>
      <c r="B14" s="3">
        <v>45496</v>
      </c>
    </row>
    <row r="15" spans="1:2" ht="19.8">
      <c r="A15" s="2" t="s">
        <v>2044</v>
      </c>
      <c r="B15" s="3">
        <v>45498</v>
      </c>
    </row>
    <row r="16" spans="1:2" ht="19.8">
      <c r="A16" s="8" t="s">
        <v>2045</v>
      </c>
      <c r="B16" s="3">
        <v>45503</v>
      </c>
    </row>
    <row r="17" spans="1:2" ht="19.8">
      <c r="A17" s="2" t="s">
        <v>2046</v>
      </c>
      <c r="B17" s="3" t="s">
        <v>2047</v>
      </c>
    </row>
    <row r="18" spans="1:2" ht="19.8">
      <c r="A18" s="2" t="s">
        <v>2048</v>
      </c>
      <c r="B18" s="3" t="s">
        <v>2049</v>
      </c>
    </row>
    <row r="19" spans="1:2" ht="19.8">
      <c r="A19" s="2" t="s">
        <v>2050</v>
      </c>
      <c r="B19" s="3">
        <v>45517</v>
      </c>
    </row>
    <row r="20" spans="1:2" ht="19.8">
      <c r="A20" s="2" t="s">
        <v>2051</v>
      </c>
      <c r="B20" s="3">
        <v>45537</v>
      </c>
    </row>
    <row r="21" spans="1:2" ht="19.8">
      <c r="A21" s="2" t="s">
        <v>2052</v>
      </c>
      <c r="B21" s="3">
        <v>45539</v>
      </c>
    </row>
    <row r="22" spans="1:2" ht="19.8">
      <c r="A22" s="2" t="s">
        <v>2053</v>
      </c>
      <c r="B22" s="3">
        <v>45545</v>
      </c>
    </row>
    <row r="23" spans="1:2" ht="19.8">
      <c r="A23" s="2" t="s">
        <v>2054</v>
      </c>
      <c r="B23" s="3">
        <v>45553</v>
      </c>
    </row>
    <row r="24" spans="1:2" ht="19.8">
      <c r="A24" s="2" t="s">
        <v>2055</v>
      </c>
      <c r="B24" s="3">
        <v>45567</v>
      </c>
    </row>
    <row r="25" spans="1:2" ht="19.8">
      <c r="A25" s="5" t="s">
        <v>2056</v>
      </c>
      <c r="B25" s="6">
        <v>45575</v>
      </c>
    </row>
    <row r="26" spans="1:2" ht="19.8">
      <c r="A26" s="4" t="s">
        <v>2057</v>
      </c>
      <c r="B26" s="9" t="s">
        <v>2058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Directorio 2025</vt:lpstr>
      <vt:lpstr>nuevos 2025 </vt:lpstr>
      <vt:lpstr>Cancelados 2025</vt:lpstr>
      <vt:lpstr>nuevos 2024</vt:lpstr>
      <vt:lpstr>'nuevos 2025 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ALSUM ALSUM</dc:creator>
  <cp:keywords/>
  <dc:description/>
  <cp:lastModifiedBy>Ferreinox Ltda</cp:lastModifiedBy>
  <cp:revision/>
  <dcterms:created xsi:type="dcterms:W3CDTF">2024-11-07T13:31:19Z</dcterms:created>
  <dcterms:modified xsi:type="dcterms:W3CDTF">2026-02-02T15:45:58Z</dcterms:modified>
  <cp:category/>
  <cp:contentStatus/>
</cp:coreProperties>
</file>