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ego Mauricio\Desktop\Analisis_Estrategico\"/>
    </mc:Choice>
  </mc:AlternateContent>
  <xr:revisionPtr revIDLastSave="0" documentId="13_ncr:1_{86DF4D10-1006-466D-8DFF-F19D39B98FC0}" xr6:coauthVersionLast="47" xr6:coauthVersionMax="47" xr10:uidLastSave="{00000000-0000-0000-0000-000000000000}"/>
  <bookViews>
    <workbookView xWindow="-108" yWindow="-108" windowWidth="23256" windowHeight="12456" activeTab="1" xr2:uid="{4FC2C70F-FC4A-4210-8DA5-2DC061F51367}"/>
  </bookViews>
  <sheets>
    <sheet name="Directorio 2025" sheetId="1" r:id="rId1"/>
    <sheet name="nuevos 2025 " sheetId="3" r:id="rId2"/>
    <sheet name="Cancelados 2025" sheetId="4" r:id="rId3"/>
    <sheet name="nuevos 2024" sheetId="2" r:id="rId4"/>
  </sheets>
  <definedNames>
    <definedName name="_xlnm._FilterDatabase" localSheetId="0" hidden="1">'Directorio 2025'!$A$1:$W$161</definedName>
    <definedName name="_xlnm._FilterDatabase" localSheetId="1" hidden="1">'nuevos 2025 '!$A$1:$E$36</definedName>
    <definedName name="_xlnm.Print_Area" localSheetId="1">'nuevos 2025 '!$A$1:$I$36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H4" i="3"/>
  <c r="D3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Asociación Latinoamericana de Suscriptores Marítimos</author>
    <author>Admin</author>
    <author>ALSUM ALSUM</author>
  </authors>
  <commentList>
    <comment ref="D3" authorId="0" shapeId="0" xr:uid="{A714D855-85A3-4E04-A2FC-DD07E636EF83}">
      <text>
        <r>
          <rPr>
            <b/>
            <sz val="9"/>
            <color indexed="81"/>
            <rFont val="Tahoma"/>
            <family val="2"/>
          </rPr>
          <t>Descuento Membresia 2025 en el 2026 debe ser $2.500</t>
        </r>
      </text>
    </comment>
    <comment ref="D4" authorId="0" shapeId="0" xr:uid="{4A5F9B2B-2D9C-46E8-9CED-4263A7E67795}">
      <text>
        <r>
          <rPr>
            <b/>
            <sz val="9"/>
            <color indexed="81"/>
            <rFont val="Tahoma"/>
            <family val="2"/>
          </rPr>
          <t>Revisar otro año. Valos descuento 2025 y Brasil.
Real: $3.500</t>
        </r>
      </text>
    </comment>
    <comment ref="D18" authorId="1" shapeId="0" xr:uid="{7AB8B405-DF0A-4A80-BF36-B383CA2080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Descuento del 50% este año, proximo 2.000</t>
        </r>
      </text>
    </comment>
    <comment ref="D27" authorId="0" shapeId="0" xr:uid="{533FC0D4-2FE3-4071-8359-12C833046EA4}">
      <text>
        <r>
          <rPr>
            <b/>
            <sz val="9"/>
            <color indexed="81"/>
            <rFont val="Tahoma"/>
            <family val="2"/>
          </rPr>
          <t>2,000 PERO SE HIZO DESCUENTE POR SER DE BRASIL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" authorId="2" shapeId="0" xr:uid="{CC47D683-B0A6-422A-B6A4-F7A6334D90A4}">
      <text>
        <r>
          <rPr>
            <sz val="11"/>
            <color theme="1"/>
            <rFont val="Aptos Narrow"/>
            <family val="2"/>
            <scheme val="minor"/>
          </rPr>
          <t>ALSUM ALSUM:
Debe ser $2,500 para el otro año, se hizo descuento porque sera Patrocinador ORO</t>
        </r>
      </text>
    </comment>
    <comment ref="D34" authorId="0" shapeId="0" xr:uid="{D03F0FCD-46C6-4485-AF3C-82FE173B5249}">
      <text>
        <r>
          <rPr>
            <b/>
            <sz val="9"/>
            <color indexed="81"/>
            <rFont val="Tahoma"/>
            <family val="2"/>
          </rPr>
          <t>Descuento 500 usd por ser patrocinador.. Otro año 2.000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4" authorId="0" shapeId="0" xr:uid="{582D92E4-6437-4CB6-9F83-348349F8D0A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Mauricio Carvajal salio de Kennedys</t>
        </r>
      </text>
    </comment>
  </commentList>
</comments>
</file>

<file path=xl/sharedStrings.xml><?xml version="1.0" encoding="utf-8"?>
<sst xmlns="http://schemas.openxmlformats.org/spreadsheetml/2006/main" count="1058" uniqueCount="370">
  <si>
    <t>Empresa</t>
  </si>
  <si>
    <t>Nombre Delegado 1</t>
  </si>
  <si>
    <t>Correo 1</t>
  </si>
  <si>
    <t>Nombre Delegado 2</t>
  </si>
  <si>
    <t>Correo 2</t>
  </si>
  <si>
    <t>Dirección</t>
  </si>
  <si>
    <t>Dominios</t>
  </si>
  <si>
    <t>Sí</t>
  </si>
  <si>
    <t>Estados Unidos</t>
  </si>
  <si>
    <t>COLOMBIA, CHILE, BRASIL, MEXICO, ARGENTINA, ECUADOR, PARAGUAY, USA, ESPAÑA, ISRAEL, UK</t>
  </si>
  <si>
    <t>AIG - AMERICAN INTERNATIONAL GROUP</t>
  </si>
  <si>
    <t>Regional</t>
  </si>
  <si>
    <t>Aseguradora</t>
  </si>
  <si>
    <t>Miembro</t>
  </si>
  <si>
    <t>AJUSTADORA DE SINIESTROS DEL ECUADOR AJUDEC S.A.</t>
  </si>
  <si>
    <t>MGA</t>
  </si>
  <si>
    <t>Argentina</t>
  </si>
  <si>
    <t>Abogados</t>
  </si>
  <si>
    <t>ARM LOGISTICS RISK MANAGEMENT-ARISKM</t>
  </si>
  <si>
    <t>obarahona@assanet.com</t>
  </si>
  <si>
    <t>AXA COLPATRIA SEGUROS S.A. COLOMBIA</t>
  </si>
  <si>
    <t>AXA MEXICO</t>
  </si>
  <si>
    <t xml:space="preserve">BSE </t>
  </si>
  <si>
    <t>CERTIFICACION PROFESIONAL INTERNACIONAL</t>
  </si>
  <si>
    <t>COMISMAR</t>
  </si>
  <si>
    <t>CRM RISK CORPORATION</t>
  </si>
  <si>
    <t xml:space="preserve">DAC BEACHCROFT </t>
  </si>
  <si>
    <t>DYNAMIC REINSURANCE LLC</t>
  </si>
  <si>
    <t>GLOBAL INTERMEDIARIO DE SEGUROS (SISU)</t>
  </si>
  <si>
    <t>GMX</t>
  </si>
  <si>
    <t>GNP</t>
  </si>
  <si>
    <t>GRILLO CORREA CONSULTORIAS</t>
  </si>
  <si>
    <t>ESPAÑA, PORTUGAL, UE, CHILE</t>
  </si>
  <si>
    <t>MGA-AGENCIA DE SUSCRIPCIÓN</t>
  </si>
  <si>
    <t>IME - INTERNATIONAL MARINE EXPERTS</t>
  </si>
  <si>
    <t>INS - INSTITUTO NACIONAL DE SEGUROS</t>
  </si>
  <si>
    <t>J CORREA ABOGADOS S.A.S.</t>
  </si>
  <si>
    <t xml:space="preserve">JANET CHINCHÓN </t>
  </si>
  <si>
    <t>JHASA BROKERS S.L.</t>
  </si>
  <si>
    <t>JRZ AJUSTADORES</t>
  </si>
  <si>
    <t>KEEPER CARGO INSURANCE</t>
  </si>
  <si>
    <t>LIMA RE CORREDORES DE REASEGUROS</t>
  </si>
  <si>
    <t>MACHADO E CREMONEZE ADVOGADOS ASSOCIADOS</t>
  </si>
  <si>
    <t>MAIO LEGAL</t>
  </si>
  <si>
    <t>MALAKUT CORREDORES DE REASEGUROS, S.A.</t>
  </si>
  <si>
    <t>MARCONSULT</t>
  </si>
  <si>
    <t>MARSUR</t>
  </si>
  <si>
    <t>MLS GLOBAL (MONTT LIQUIDADORES)</t>
  </si>
  <si>
    <t>NAVIGATORS (THE HARTFORD)</t>
  </si>
  <si>
    <t>QBE</t>
  </si>
  <si>
    <t>REASEGURADORA DEL ECUADOR S.A.- ECUARE</t>
  </si>
  <si>
    <t>REDNA AJUSTADORES</t>
  </si>
  <si>
    <t>ROS</t>
  </si>
  <si>
    <t>RTS - RIESGOS TASACIONES Y SERVICIOS S.A.</t>
  </si>
  <si>
    <t xml:space="preserve">ESPAÑA, PORTUGAL, MÉXICO, MIAMI, ARGENTINA, COLOMBIA, PERÚ, CHILE, HONDURAS, COSTA RICA, GUATEMALA, BRASIL, ECUADOR, EL SALVADOR, REPÚBLICA DOMINICANA, PANAMA, PUERTO RICO, </t>
  </si>
  <si>
    <t>SANCOR COOPERATIVA DE SEGUROS ARGENTINA</t>
  </si>
  <si>
    <t>SANCOR SEGUROS DEL PARAGUAY SA</t>
  </si>
  <si>
    <t xml:space="preserve">
</t>
  </si>
  <si>
    <t>SEGUROS UNIVERSAL</t>
  </si>
  <si>
    <t>SGC</t>
  </si>
  <si>
    <t>UK P&amp;I CLUB</t>
  </si>
  <si>
    <t>P&amp;I CLUB</t>
  </si>
  <si>
    <t>VADASA</t>
  </si>
  <si>
    <t>VAIS</t>
  </si>
  <si>
    <t>VICAN UNDERWRITERS</t>
  </si>
  <si>
    <t>Compañía</t>
  </si>
  <si>
    <t>Tipo de Compañía</t>
  </si>
  <si>
    <t>Tipo de Afiliado</t>
  </si>
  <si>
    <t>Valor membresía 2025</t>
  </si>
  <si>
    <t>Fecha Inicio Membresia</t>
  </si>
  <si>
    <t>CREST</t>
  </si>
  <si>
    <t>Miembros</t>
  </si>
  <si>
    <t>Asociados</t>
  </si>
  <si>
    <t>NACORA</t>
  </si>
  <si>
    <t>SEGUROS DEL ESTADO</t>
  </si>
  <si>
    <t>BANCO DAVIVIENDA HONDURAS</t>
  </si>
  <si>
    <t>DAC BEACHCROFT</t>
  </si>
  <si>
    <t>Tipo de Empresa</t>
  </si>
  <si>
    <t>Teléfono</t>
  </si>
  <si>
    <t>País</t>
  </si>
  <si>
    <t>The Spencer Company</t>
  </si>
  <si>
    <t>Liquidadores de Averías</t>
  </si>
  <si>
    <t>Jonathan S. Spencer</t>
  </si>
  <si>
    <t xml:space="preserve">jss@jssusa.com </t>
  </si>
  <si>
    <t>3340, State Route 52, White Sulphur Springs, NY 12787</t>
  </si>
  <si>
    <t>1 (917) 696-5467</t>
  </si>
  <si>
    <t>@jssusa.com</t>
  </si>
  <si>
    <t>J. R. Rodriguez &amp; Asociados</t>
  </si>
  <si>
    <t>Julieta Rodríguez</t>
  </si>
  <si>
    <t>rodriguezjulieta@jrryasoc.com.ar</t>
  </si>
  <si>
    <t xml:space="preserve">Jorge Ruben </t>
  </si>
  <si>
    <t>rodriguezjr@jrryasoc.com.ar</t>
  </si>
  <si>
    <t>Lavalle 547, Piso 2º Oficina “A” (C1047AAK)
Buenos Aires – Argentina</t>
  </si>
  <si>
    <t>(54 11) 4393 5919</t>
  </si>
  <si>
    <t>@jrryasoc.com.ar</t>
  </si>
  <si>
    <t>Kennedys</t>
  </si>
  <si>
    <t>Valeria Largo</t>
  </si>
  <si>
    <t xml:space="preserve">Valeria.Largo@kennedyslaw.com </t>
  </si>
  <si>
    <t>Nataly Castiblanco</t>
  </si>
  <si>
    <t xml:space="preserve">Nataly.Castelblanco@kennedyslaw.com </t>
  </si>
  <si>
    <t>Carrera 9 No. 115-06, Piso 28 Edificio Tierra Firme, Oficina 2802 Bogotá,</t>
  </si>
  <si>
    <t>57 1 390 5888</t>
  </si>
  <si>
    <t>@kennedyslaw.com</t>
  </si>
  <si>
    <t>ASSA COSTA RICA</t>
  </si>
  <si>
    <t xml:space="preserve">Roberto Mock </t>
  </si>
  <si>
    <t>rmock@assanet.com</t>
  </si>
  <si>
    <t>Forum I, edificio F, San José, Costa Rica</t>
  </si>
  <si>
    <t>506 2503 2700</t>
  </si>
  <si>
    <t xml:space="preserve"> @assanet.com</t>
  </si>
  <si>
    <t xml:space="preserve">Opc 7 </t>
  </si>
  <si>
    <t>Ingresos Membresias 2024</t>
  </si>
  <si>
    <t>Fecha</t>
  </si>
  <si>
    <t>LA MERIDIONAL</t>
  </si>
  <si>
    <t>ASSA COMPANIA</t>
  </si>
  <si>
    <t>MARLIN BLUE</t>
  </si>
  <si>
    <t xml:space="preserve">ADDVALORA-MOLLER </t>
  </si>
  <si>
    <t>UMBRELLA</t>
  </si>
  <si>
    <t>SUMMA RE</t>
  </si>
  <si>
    <t>HANSEATICA</t>
  </si>
  <si>
    <t>Americal Re</t>
  </si>
  <si>
    <t>Options &amp; Adjusters</t>
  </si>
  <si>
    <t xml:space="preserve">ECUA RE-REASEGURADORA DEL ECUADOR </t>
  </si>
  <si>
    <t>Ajusco Ecuador</t>
  </si>
  <si>
    <t>30-jul / 1-ago</t>
  </si>
  <si>
    <t>ANDES TOOL</t>
  </si>
  <si>
    <t>9.ago</t>
  </si>
  <si>
    <t>MC LARENS</t>
  </si>
  <si>
    <t>ECUASUIZA</t>
  </si>
  <si>
    <t>PROBITAS</t>
  </si>
  <si>
    <t>NACION SEGUROS</t>
  </si>
  <si>
    <t>GALICIA SEGUROS</t>
  </si>
  <si>
    <t>OCEANICA DE SEGUROS</t>
  </si>
  <si>
    <t>FAIRFAX BRASIL SEGUROS</t>
  </si>
  <si>
    <t>BCI SEGUROS</t>
  </si>
  <si>
    <t>Noviembre</t>
  </si>
  <si>
    <t>P&amp;I</t>
  </si>
  <si>
    <t>EMPRESA</t>
  </si>
  <si>
    <t>PAÍS SEDE OPERACIÓN</t>
  </si>
  <si>
    <t xml:space="preserve">PAÍSES DÓNDE TIENE PRESENCIA </t>
  </si>
  <si>
    <t>VALOR DE LA MEMBRESÍA</t>
  </si>
  <si>
    <t>TIPO DE EMPRESA</t>
  </si>
  <si>
    <t>CATEGORÍA ALSUM</t>
  </si>
  <si>
    <t>CATEGORIA</t>
  </si>
  <si>
    <t>ABACO</t>
  </si>
  <si>
    <t>MÉXICO</t>
  </si>
  <si>
    <t>ESPAÑA, PORTUGAL, REINO UNIDO, USA, MEXICO, GUATEMALA, COLOMBIA, ECUADOR, PERÚ, CHILE</t>
  </si>
  <si>
    <t>AJUSTADORES</t>
  </si>
  <si>
    <t>ASOCIADO</t>
  </si>
  <si>
    <t>ABL GROUP</t>
  </si>
  <si>
    <t>ESTADOS UNIDOS</t>
  </si>
  <si>
    <t xml:space="preserve">EN AMERICA: ESTADOS UNIDOS, CANADA, MEXICO, BRASIL Y PANAMA. IGUALMENTE, OFICINAS EN EUROPA, ASIA, AFRICA Y OCEANIA </t>
  </si>
  <si>
    <t>RISK MANAGEMENT</t>
  </si>
  <si>
    <t>ADDVALORA - WMOLLER (SE LLAMAA)W. MOLLER SAC (ADDVALORA-WMOLLER)</t>
  </si>
  <si>
    <t>PERÚ</t>
  </si>
  <si>
    <t>REGIONAL</t>
  </si>
  <si>
    <t>ASEGURADORA</t>
  </si>
  <si>
    <t>MIEMBRO</t>
  </si>
  <si>
    <t>AJUSCO</t>
  </si>
  <si>
    <t>ECUADOR</t>
  </si>
  <si>
    <t>ALBATROZ MGA</t>
  </si>
  <si>
    <t>BRASIL</t>
  </si>
  <si>
    <t>ALLIANZ</t>
  </si>
  <si>
    <t>ALS ADMIRALTY SERVICES SA</t>
  </si>
  <si>
    <t>ARGENTINA</t>
  </si>
  <si>
    <t>ARGENTINA Y URUGUAY</t>
  </si>
  <si>
    <t>ABOGADOS AJUSTADORES</t>
  </si>
  <si>
    <t>ABOGADOS</t>
  </si>
  <si>
    <t>AMERICAL RE - AMERICAL REINSURANCE SOLUTIONS</t>
  </si>
  <si>
    <t>ARGENTINA, PARAGUAY, URUGUAY</t>
  </si>
  <si>
    <t>BROKER DE REASEGUROS</t>
  </si>
  <si>
    <t>CHILE</t>
  </si>
  <si>
    <t>LATAM</t>
  </si>
  <si>
    <t>TECNOLOGÍA</t>
  </si>
  <si>
    <t>PROVEEDORES</t>
  </si>
  <si>
    <t>AON BENFIELD</t>
  </si>
  <si>
    <t>CORREDORES DE REASEGURO</t>
  </si>
  <si>
    <t xml:space="preserve">CHILE , PERÚ, COLOMBIA, COSTA RICA, ESPAÑA, USA, </t>
  </si>
  <si>
    <t>ARM SERVICES</t>
  </si>
  <si>
    <t>ARGENTINA, CHILE</t>
  </si>
  <si>
    <t xml:space="preserve">GERENCIADORA DE RIESGOS </t>
  </si>
  <si>
    <t>ARTHUR GALLAGHER</t>
  </si>
  <si>
    <t>COLOMBIA ( PANAMA, ECUADOR SUCURSALES DE COLOMBIA) PERU, BRASIL Y CHILE</t>
  </si>
  <si>
    <t>ASSA COMPAÑÍA DE SEGUROS PANAMÁ</t>
  </si>
  <si>
    <t>PANAMÁ</t>
  </si>
  <si>
    <t>ASSEKURANSA</t>
  </si>
  <si>
    <t>ASSISTCARGO</t>
  </si>
  <si>
    <t>ARGENTINA , CHILE, COLOMBIA , ESPAÑA, ECUADOR , ESTADOS UNIDOS,, MÉXICO , PARAGUAY , PERU, URUGUAY</t>
  </si>
  <si>
    <t>ATLANTIC AMERICAS REINSURANCE</t>
  </si>
  <si>
    <t>ESPAÑA, COLOMBIA</t>
  </si>
  <si>
    <t>ESPAÑA, LONDRES, MIAMI, PANAMÁ, CHILE</t>
  </si>
  <si>
    <t>AVLA PERU</t>
  </si>
  <si>
    <t>COLOMBIA</t>
  </si>
  <si>
    <t>SERVICIOS</t>
  </si>
  <si>
    <t>AZ LOGICA S.A.S.</t>
  </si>
  <si>
    <t>CONSULTORES/RISKMANAGMENT</t>
  </si>
  <si>
    <t>BAALNAK</t>
  </si>
  <si>
    <t>LATINOAMÉRICA Y EL CARIBE</t>
  </si>
  <si>
    <t>LLOYD’S COVERHOLDER</t>
  </si>
  <si>
    <t>CORREDORES DE REASEGURO</t>
  </si>
  <si>
    <t>HONDURAS</t>
  </si>
  <si>
    <t>BARBUSS</t>
  </si>
  <si>
    <t>LIQUIDADORES</t>
  </si>
  <si>
    <t>BAS AGENTE DE SEGUROS (BAS CARGO INSURANCE)</t>
  </si>
  <si>
    <t>MÉXICO Y USA</t>
  </si>
  <si>
    <t xml:space="preserve">COMPAÑÍA DE SEGUROS </t>
  </si>
  <si>
    <t>AGENCIA (INTERMEDIARIOS DE SEGUROS)</t>
  </si>
  <si>
    <t>BOLEA SAEZ SERVICIOS S.L.</t>
  </si>
  <si>
    <t>ESPAÑA</t>
  </si>
  <si>
    <t xml:space="preserve">ESPAÑA Y PANAMÁ </t>
  </si>
  <si>
    <t>BROKER DE SEGUROS Y REASEGUROS</t>
  </si>
  <si>
    <t>URUGUAY</t>
  </si>
  <si>
    <t>CARGOCORP</t>
  </si>
  <si>
    <t>CARPENTER MARSH</t>
  </si>
  <si>
    <t>CAVE LIQUIDADORES</t>
  </si>
  <si>
    <t>AJUSTADORES / LIQUIDADORES</t>
  </si>
  <si>
    <t>CHARTERAMA BV</t>
  </si>
  <si>
    <t>PAISES BAJOS</t>
  </si>
  <si>
    <t>REPÚBLICA DOMINICANA, CHINA Y FRANCIA</t>
  </si>
  <si>
    <t>MGA - CHARTERERS LIABILITY INSURANCE</t>
  </si>
  <si>
    <t>MGA / AGENCIA DE SUSCRIPCIÓN</t>
  </si>
  <si>
    <t>CHUBB</t>
  </si>
  <si>
    <t xml:space="preserve">COGENT ANDINA </t>
  </si>
  <si>
    <t>CORDOVA &amp; ASOCIADOS</t>
  </si>
  <si>
    <t>CORRAMER</t>
  </si>
  <si>
    <t>BROKERS DE REASEGUROS</t>
  </si>
  <si>
    <t>CORREDORES DE DIRECTO</t>
  </si>
  <si>
    <t>CRAWFORD LIQUIDADORES</t>
  </si>
  <si>
    <t>OTROS</t>
  </si>
  <si>
    <t>CVA CARVAJAL VALEK ABOGADOS</t>
  </si>
  <si>
    <t>FIRMA DE ABOGADOS</t>
  </si>
  <si>
    <t>CORREDORES DE SEGURO</t>
  </si>
  <si>
    <t>EQUISUIZA (ECUASUIZA FUSIÓN SON SEGUROS EQUINOCCIAL, A PARTIR DEL 1 DE NOVIEMBRE)</t>
  </si>
  <si>
    <t>EQUOS CORREDORES DE SEGUROS SPA</t>
  </si>
  <si>
    <t>CORREDOR DE SEGUROS</t>
  </si>
  <si>
    <t>ERP - ERTEM, RIVERO &amp; PARTNERS (ANTES E&amp;P- EVDEMON &amp; PARTNERS PANAMÁ)</t>
  </si>
  <si>
    <t>ESTUDIO VIVANCO</t>
  </si>
  <si>
    <t>EVERESTGLOBAL</t>
  </si>
  <si>
    <t>REASEGURADORA</t>
  </si>
  <si>
    <t>FAIRFAX</t>
  </si>
  <si>
    <t>FORTE UW</t>
  </si>
  <si>
    <t>FRANCO &amp; ASOCIADOS</t>
  </si>
  <si>
    <t>GARCIARBOLEDA</t>
  </si>
  <si>
    <t>FIRMA ABOGADOS</t>
  </si>
  <si>
    <t>GIBBS Y CIA S.A.C</t>
  </si>
  <si>
    <t>GRUPO OET</t>
  </si>
  <si>
    <t>GRUPO NUÑO</t>
  </si>
  <si>
    <t>MEXICO, EU Y PANAMA</t>
  </si>
  <si>
    <t>HANNOVER RE</t>
  </si>
  <si>
    <t>HDI MEXICO</t>
  </si>
  <si>
    <t>HDI CHILE</t>
  </si>
  <si>
    <t xml:space="preserve">HELIX MARINE </t>
  </si>
  <si>
    <t>HELVETIA</t>
  </si>
  <si>
    <t xml:space="preserve">LATINOAMÉRICA </t>
  </si>
  <si>
    <t>CHARLES TAYLOR (ANTES HERRERA DKP)</t>
  </si>
  <si>
    <t>HUMANO SEGUROS</t>
  </si>
  <si>
    <t>REPÚBLICA DOMINICANA</t>
  </si>
  <si>
    <t>INSPECTORES Y AJUSTADORES</t>
  </si>
  <si>
    <t xml:space="preserve"> INSPECTORES Y AJUSTADORES</t>
  </si>
  <si>
    <t>COSTA RICA</t>
  </si>
  <si>
    <t>INTERNACIONAL DE SEGUROS</t>
  </si>
  <si>
    <t>PANAMÁ, COSTA RICA</t>
  </si>
  <si>
    <t>PEQUEÑA-PRIVADA</t>
  </si>
  <si>
    <t>JAH INSURANCE</t>
  </si>
  <si>
    <t>BROKERS DE SEGUROS</t>
  </si>
  <si>
    <t>INTERMEDIARIOS DE SEGURO</t>
  </si>
  <si>
    <t>CORREDOR DE REASEGUROS</t>
  </si>
  <si>
    <t>AJUSTADORES Y PERITOS MARÍTIMOS</t>
  </si>
  <si>
    <t xml:space="preserve"> AJUSTADORES Y PERITOS MARÍTIMOS</t>
  </si>
  <si>
    <t>AGENTE DE SEGUROS</t>
  </si>
  <si>
    <t>INTERMEDIARIO DE SEGUROS</t>
  </si>
  <si>
    <t>KING SALOMON</t>
  </si>
  <si>
    <t>LA HOLANDO SUDAMERICANA</t>
  </si>
  <si>
    <t>LA MERIDIONAL SEGUROS</t>
  </si>
  <si>
    <t>LA MONUMENTAL SEGUROS</t>
  </si>
  <si>
    <t>LA PREVISORA</t>
  </si>
  <si>
    <t>LA UNION SEGUROS</t>
  </si>
  <si>
    <t>LIBERTY SPECIALTY MARKETS</t>
  </si>
  <si>
    <t>LOCKTON</t>
  </si>
  <si>
    <t>BRASIL, ARGENTINA, URUGUAY MIAMI, MEXICO, COLOMBIA PERU CHILE</t>
  </si>
  <si>
    <t>INTERMEDIARIO DE REASEGUROS</t>
  </si>
  <si>
    <t>LOGRISK</t>
  </si>
  <si>
    <t>MÉXICO, COLOMBIA, PERÚ Y ECUADOR</t>
  </si>
  <si>
    <t xml:space="preserve">GESTIÓN DE RIESGOS </t>
  </si>
  <si>
    <t>ESPAÑA, MÉXICO, PORTUGAL</t>
  </si>
  <si>
    <t>MAPFRE GLOBAL RISKS</t>
  </si>
  <si>
    <t xml:space="preserve">ESPAÑA, PORTUGAL, UK, TURQUIA, MALTA, FILIPINAS, ARGENTUNA, BRASIL, CHILE, COLOMBIA, MEXICO, PERU, ECUADOR,COSTA RICA, PANAMA, NICARAGUA, EL SALVADOR, GUATEMALA, HONDURAS, REPUBLICA DIMINICANA. </t>
  </si>
  <si>
    <t>GRUPO ASEGURADOR INTERNACIONAL</t>
  </si>
  <si>
    <t xml:space="preserve">PERÚ, COLOMBIA, BOLIVIA, GUATEMALA, CHILE, ECUADOR, BRASIL, ARGENTINA, EL SALVADOR, PANAMÁ, HONDURAS, REPÚBLICA DOMINICANA </t>
  </si>
  <si>
    <t xml:space="preserve">SERVICIOS PERITAJES, INSPECCIONES, AJUSTES, INVESTIGACIONES </t>
  </si>
  <si>
    <t>ESPAÑA, ARGENTINA, CHILE, REINO UNIDO, IRLANDA, PAÍSES BAJOS, EMIRATOS ÁRABES UNIDOS Y AUSTRALIA</t>
  </si>
  <si>
    <t>MCLARENS</t>
  </si>
  <si>
    <t>INTERMEDIARIOS</t>
  </si>
  <si>
    <t>MERCANTIL RE</t>
  </si>
  <si>
    <t>MNK SEGUROS COMPAÑÍA ASEGURADORA S.A. (ANTES OCEÁNICA DE SEGUROS S.A.)</t>
  </si>
  <si>
    <t>MOLLER DE CENTROAMERICA</t>
  </si>
  <si>
    <t>MOMENTUM</t>
  </si>
  <si>
    <t>MSIG SPECIALTY MARINE NV</t>
  </si>
  <si>
    <t>BÉLGICA</t>
  </si>
  <si>
    <t>ASEGURADORA Y REASEGURADORA EN NOMBRE DE MS AMLIN INSURANCE SE</t>
  </si>
  <si>
    <t>MUNICH RE</t>
  </si>
  <si>
    <t>MURIMAR</t>
  </si>
  <si>
    <t>ANDINO Y CENTRO AMERICA</t>
  </si>
  <si>
    <t>AGENCIA DE SEGUROS</t>
  </si>
  <si>
    <t>NAMES AGENCIA DE SUSCRIPCIÓN</t>
  </si>
  <si>
    <t>AGENCIA</t>
  </si>
  <si>
    <t>AGENCIA DE SUSCRIPCIÓN</t>
  </si>
  <si>
    <t>OPTIONS &amp; ADJUSTERS (SIGLA 2025 OPA)</t>
  </si>
  <si>
    <t>PACIFICO SEGUROS</t>
  </si>
  <si>
    <t>POWERMARITIMA</t>
  </si>
  <si>
    <t>PRAAM</t>
  </si>
  <si>
    <t>PRICE FORBES</t>
  </si>
  <si>
    <t xml:space="preserve">ESTADOS UNIDOS </t>
  </si>
  <si>
    <t>REASANTO</t>
  </si>
  <si>
    <t>REPÚBLICA DOMINICAN, HONDURAS, GUATEMALA, EL SALVADOR, MÉXICO, PANAMÁ</t>
  </si>
  <si>
    <t>ECUADOR, PANAMÁ, PARAGUAY, COSTA RICA, BOLIVIA, URUGUAY, PERÚ Y REPUBLICA DOMINICANA</t>
  </si>
  <si>
    <t>REASINTER</t>
  </si>
  <si>
    <t>MÉXICO, EEUU</t>
  </si>
  <si>
    <t xml:space="preserve">BROKER DE REASEGUROS </t>
  </si>
  <si>
    <t>REUNION RE</t>
  </si>
  <si>
    <t>ROKSTONE</t>
  </si>
  <si>
    <t>REINO UNIDO</t>
  </si>
  <si>
    <t>INTACT (ANTES RSA)</t>
  </si>
  <si>
    <t>SERVICIOS DE PERITACIÓN</t>
  </si>
  <si>
    <t>SAFE LINK</t>
  </si>
  <si>
    <t>SAINT CLEMENT</t>
  </si>
  <si>
    <t xml:space="preserve">ESPAÑA, UK, CHILE, </t>
  </si>
  <si>
    <t>TPA - CLAIMS ADVISORY</t>
  </si>
  <si>
    <t>AGENCIA DE RECUPERACIÓN</t>
  </si>
  <si>
    <t>PARAGUAY</t>
  </si>
  <si>
    <t>SBS SEGUROS</t>
  </si>
  <si>
    <t>SEGUROS BOLIVAR</t>
  </si>
  <si>
    <t>SEGUROS CRECER</t>
  </si>
  <si>
    <t>SEGUROS EL ROBLE</t>
  </si>
  <si>
    <t>GUATEMALA</t>
  </si>
  <si>
    <t>SEGUROS MAGNE</t>
  </si>
  <si>
    <t>CORREDORES DE DIRECTO?</t>
  </si>
  <si>
    <t>SEGUROS ATLAS</t>
  </si>
  <si>
    <t>SEGUROS</t>
  </si>
  <si>
    <t>SOM.US</t>
  </si>
  <si>
    <t>SOMPO BRASIL</t>
  </si>
  <si>
    <t>SOUTHBRIDGE</t>
  </si>
  <si>
    <t>SPECIALTY REINSURANCE BROKERS</t>
  </si>
  <si>
    <t>PANAMÁ, COSTA RICA, EL SALVADOR, HONDURAS, GUATEMALA, REPUBLICA DOMINICANA</t>
  </si>
  <si>
    <t>STARR</t>
  </si>
  <si>
    <t>STOWMARINE SERVICES AND CONSULTANSY</t>
  </si>
  <si>
    <t>REPÚBLICA DOMINICANA Y EL CARIBE</t>
  </si>
  <si>
    <t>SUNLIGHT SOLUTIONS</t>
  </si>
  <si>
    <t>SURA COLOMBIA</t>
  </si>
  <si>
    <t>SWISS RE</t>
  </si>
  <si>
    <t>TBS - INTERMEDIARIO DE SEGUROS</t>
  </si>
  <si>
    <t>TRANSANTLANTIC RE</t>
  </si>
  <si>
    <t>JERSEY CITY - NEW YORK</t>
  </si>
  <si>
    <t>UMBRELLA RE</t>
  </si>
  <si>
    <t>ESTADOS UNIDOS Y ECUADOR</t>
  </si>
  <si>
    <t>REPÚBLICA DOMINICANA, ECUADOR, CARIBE</t>
  </si>
  <si>
    <t>LIMITED LIABILITY COMPANY</t>
  </si>
  <si>
    <t>TECNOLOGIA</t>
  </si>
  <si>
    <t>LATAM Y CARIBE</t>
  </si>
  <si>
    <t>VILLAGRAN LARA</t>
  </si>
  <si>
    <t>VIOLLIER AJUSTADORES</t>
  </si>
  <si>
    <t>WILLIS TOWERS WATSON</t>
  </si>
  <si>
    <t>BRASIL - COLOMBIA</t>
  </si>
  <si>
    <t>ARGENTINA, BRASIL, CHILE, PERU, COLOMBIA, VENEZUELA, MEXICO, PANAMA, HONDURAS, GUATEMALA, EL SALVADOR, GUATEMALA E COSTA RICA.</t>
  </si>
  <si>
    <t>ZURICH</t>
  </si>
  <si>
    <t>INSURTECH</t>
  </si>
  <si>
    <t>CORREDORES DE SEGUROS Y REASEGUROS</t>
  </si>
  <si>
    <t>ASEGURADORA DE RIESGOS P&amp;I</t>
  </si>
  <si>
    <t>CORREDOR DE SEGURO</t>
  </si>
  <si>
    <t>CORREDORES DE SEGUROS</t>
  </si>
  <si>
    <t>KEEPER CARGO INSURANCE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</si>
</sst>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XDR&quot;* #,##0.00_-;\-&quot;XDR&quot;* #,##0.00_-;_-&quot;XDR&quot;* &quot;-&quot;??_-;_-@_-"/>
    <numFmt numFmtId="165" formatCode="[$-409]d\-mmm\-yy;@"/>
    <numFmt numFmtId="166" formatCode="[$$-409]#,##0"/>
    <numFmt numFmtId="167" formatCode="_-[$USD]\ * #,##0_-;\-[$USD]\ * #,##0_-;_-[$USD]\ * &quot;-&quot;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Poppins"/>
      <family val="3"/>
    </font>
    <font>
      <sz val="10"/>
      <color theme="1"/>
      <name val="Poppins"/>
      <family val="3"/>
    </font>
    <font>
      <sz val="10"/>
      <color rgb="FF212529"/>
      <name val="Poppins"/>
      <family val="3"/>
    </font>
    <font>
      <sz val="10"/>
      <color theme="0"/>
      <name val="Abadi"/>
      <family val="2"/>
    </font>
    <font>
      <b/>
      <sz val="10"/>
      <color theme="0"/>
      <name val="Abadi"/>
      <family val="2"/>
    </font>
    <font>
      <sz val="10"/>
      <name val="Abadi"/>
      <family val="2"/>
    </font>
    <font>
      <u/>
      <sz val="10"/>
      <color theme="10"/>
      <name val="Abadi"/>
      <family val="2"/>
    </font>
    <font>
      <sz val="10"/>
      <color theme="1"/>
      <name val="Abad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0"/>
      <color theme="0"/>
      <name val="Arial Narrow"/>
      <family val="2"/>
    </font>
    <font>
      <b/>
      <sz val="10"/>
      <color theme="0"/>
      <name val="Arial Narrow"/>
      <family val="2"/>
    </font>
    <font>
      <b/>
      <sz val="10"/>
      <name val="Abadi"/>
      <family val="2"/>
    </font>
    <font>
      <b/>
      <sz val="10"/>
      <color theme="1"/>
      <name val="Abadi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badi"/>
      <family val="2"/>
    </font>
    <font>
      <sz val="8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1" xfId="0" applyFont="1" applyBorder="1" applyAlignment="1">
      <alignment horizontal="center"/>
    </xf>
    <xf numFmtId="0" fontId="5" fillId="3" borderId="1" xfId="0" applyFont="1" applyFill="1" applyBorder="1"/>
    <xf numFmtId="16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4" fillId="0" borderId="1" xfId="0" applyFont="1" applyBorder="1"/>
    <xf numFmtId="16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left"/>
    </xf>
    <xf numFmtId="0" fontId="8" fillId="3" borderId="1" xfId="1" applyFont="1" applyFill="1" applyBorder="1" applyAlignment="1">
      <alignment vertical="center"/>
    </xf>
    <xf numFmtId="0" fontId="9" fillId="3" borderId="1" xfId="3" applyFont="1" applyFill="1" applyBorder="1" applyAlignment="1"/>
    <xf numFmtId="0" fontId="10" fillId="3" borderId="2" xfId="0" applyFont="1" applyFill="1" applyBorder="1"/>
    <xf numFmtId="0" fontId="10" fillId="3" borderId="1" xfId="0" applyFont="1" applyFill="1" applyBorder="1"/>
    <xf numFmtId="0" fontId="8" fillId="3" borderId="1" xfId="1" applyFont="1" applyFill="1" applyBorder="1"/>
    <xf numFmtId="0" fontId="10" fillId="0" borderId="0" xfId="0" applyFont="1"/>
    <xf numFmtId="0" fontId="10" fillId="3" borderId="0" xfId="0" applyFont="1" applyFill="1"/>
    <xf numFmtId="0" fontId="7" fillId="6" borderId="2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/>
    </xf>
    <xf numFmtId="0" fontId="8" fillId="3" borderId="0" xfId="1" applyFont="1" applyFill="1"/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65" fontId="15" fillId="7" borderId="1" xfId="0" applyNumberFormat="1" applyFont="1" applyFill="1" applyBorder="1" applyAlignment="1">
      <alignment horizontal="center" vertical="center" wrapText="1"/>
    </xf>
    <xf numFmtId="164" fontId="15" fillId="8" borderId="1" xfId="2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left"/>
    </xf>
    <xf numFmtId="0" fontId="8" fillId="3" borderId="3" xfId="1" applyFont="1" applyFill="1" applyBorder="1" applyAlignment="1">
      <alignment vertical="center"/>
    </xf>
    <xf numFmtId="0" fontId="9" fillId="3" borderId="3" xfId="3" applyFont="1" applyFill="1" applyBorder="1" applyAlignment="1"/>
    <xf numFmtId="0" fontId="8" fillId="3" borderId="3" xfId="0" applyFont="1" applyFill="1" applyBorder="1" applyAlignment="1" applyProtection="1">
      <alignment horizontal="left"/>
      <protection locked="0"/>
    </xf>
    <xf numFmtId="0" fontId="10" fillId="3" borderId="3" xfId="0" applyFont="1" applyFill="1" applyBorder="1"/>
    <xf numFmtId="0" fontId="8" fillId="5" borderId="3" xfId="1" applyFont="1" applyFill="1" applyBorder="1" applyAlignment="1">
      <alignment vertical="center"/>
    </xf>
    <xf numFmtId="0" fontId="2" fillId="3" borderId="3" xfId="3" applyFill="1" applyBorder="1"/>
    <xf numFmtId="0" fontId="2" fillId="0" borderId="3" xfId="3" applyBorder="1"/>
    <xf numFmtId="0" fontId="10" fillId="3" borderId="3" xfId="0" applyFont="1" applyFill="1" applyBorder="1" applyAlignment="1">
      <alignment horizontal="left" wrapText="1"/>
    </xf>
    <xf numFmtId="0" fontId="16" fillId="3" borderId="3" xfId="1" applyFont="1" applyFill="1" applyBorder="1" applyAlignment="1">
      <alignment horizontal="left" wrapText="1"/>
    </xf>
    <xf numFmtId="166" fontId="19" fillId="3" borderId="1" xfId="0" applyNumberFormat="1" applyFont="1" applyFill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3" borderId="1" xfId="0" applyNumberFormat="1" applyFont="1" applyFill="1" applyBorder="1" applyAlignment="1">
      <alignment horizontal="center"/>
    </xf>
    <xf numFmtId="166" fontId="20" fillId="3" borderId="1" xfId="2" applyNumberFormat="1" applyFont="1" applyFill="1" applyBorder="1" applyAlignment="1">
      <alignment horizontal="center"/>
    </xf>
    <xf numFmtId="166" fontId="0" fillId="0" borderId="0" xfId="0" applyNumberFormat="1"/>
    <xf numFmtId="167" fontId="0" fillId="0" borderId="0" xfId="2" applyNumberFormat="1" applyFont="1"/>
    <xf numFmtId="167" fontId="13" fillId="0" borderId="0" xfId="2" applyNumberFormat="1" applyFont="1"/>
    <xf numFmtId="0" fontId="13" fillId="0" borderId="0" xfId="0" applyFont="1"/>
    <xf numFmtId="0" fontId="17" fillId="0" borderId="0" xfId="0" applyFont="1" applyAlignment="1">
      <alignment wrapText="1"/>
    </xf>
    <xf numFmtId="0" fontId="2" fillId="5" borderId="3" xfId="3" applyFill="1" applyBorder="1" applyAlignment="1"/>
    <xf numFmtId="0" fontId="10" fillId="0" borderId="0" xfId="0" applyFont="1" applyAlignment="1">
      <alignment horizontal="right"/>
    </xf>
    <xf numFmtId="49" fontId="8" fillId="5" borderId="3" xfId="1" applyNumberFormat="1" applyFont="1" applyFill="1" applyBorder="1" applyAlignment="1">
      <alignment vertical="center"/>
    </xf>
    <xf numFmtId="49" fontId="2" fillId="0" borderId="3" xfId="3" applyNumberFormat="1" applyBorder="1"/>
    <xf numFmtId="49" fontId="10" fillId="0" borderId="0" xfId="0" applyNumberFormat="1" applyFont="1"/>
    <xf numFmtId="49" fontId="10" fillId="0" borderId="0" xfId="0" applyNumberFormat="1" applyFont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8" fillId="9" borderId="1" xfId="0" applyFont="1" applyFill="1" applyBorder="1" applyAlignment="1">
      <alignment vertical="center" wrapText="1"/>
    </xf>
    <xf numFmtId="0" fontId="23" fillId="9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0" fillId="9" borderId="1" xfId="0" applyFont="1" applyFill="1" applyBorder="1" applyAlignment="1">
      <alignment horizontal="center"/>
    </xf>
    <xf numFmtId="0" fontId="23" fillId="0" borderId="4" xfId="0" applyFont="1" applyBorder="1" applyAlignment="1">
      <alignment vertical="center" wrapText="1"/>
    </xf>
    <xf numFmtId="0" fontId="20" fillId="9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166" fontId="20" fillId="3" borderId="0" xfId="2" applyNumberFormat="1" applyFont="1" applyFill="1" applyBorder="1" applyAlignment="1">
      <alignment horizontal="center"/>
    </xf>
    <xf numFmtId="165" fontId="21" fillId="3" borderId="0" xfId="0" applyNumberFormat="1" applyFont="1" applyFill="1" applyBorder="1" applyAlignment="1">
      <alignment horizontal="center"/>
    </xf>
  </cellXfs>
  <cellStyles count="4">
    <cellStyle name="Hipervínculo" xfId="3" builtinId="8"/>
    <cellStyle name="Moneda" xfId="2" builtinId="4"/>
    <cellStyle name="Normal" xfId="0" builtinId="0"/>
    <cellStyle name="Normal 2" xfId="1" xr:uid="{0BD0ECEB-A91B-40E9-8A59-D946F2A3AA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odriguezjr@jrryasoc.com.ar" TargetMode="External"/><Relationship Id="rId7" Type="http://schemas.openxmlformats.org/officeDocument/2006/relationships/comments" Target="../comments2.xml"/><Relationship Id="rId2" Type="http://schemas.openxmlformats.org/officeDocument/2006/relationships/hyperlink" Target="mailto:rodriguezjulieta@jrryasoc.com.ar" TargetMode="External"/><Relationship Id="rId1" Type="http://schemas.openxmlformats.org/officeDocument/2006/relationships/hyperlink" Target="mailto:jss@jssusa.com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mailto:obarahona@assanet.com" TargetMode="External"/><Relationship Id="rId4" Type="http://schemas.openxmlformats.org/officeDocument/2006/relationships/hyperlink" Target="mailto:rmock@assa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9865-BAC1-43A6-8467-41F7E7B3E707}">
  <sheetPr filterMode="1"/>
  <dimension ref="A1:W161"/>
  <sheetViews>
    <sheetView zoomScale="90" zoomScaleNormal="100" zoomScaleSheetLayoutView="100" workbookViewId="0">
      <selection activeCell="A21" sqref="A21"/>
    </sheetView>
  </sheetViews>
  <sheetFormatPr baseColWidth="10" defaultColWidth="16.88671875" defaultRowHeight="14.4" x14ac:dyDescent="0.3"/>
  <cols>
    <col min="1" max="1" width="30.21875" style="47" bestFit="1" customWidth="1"/>
    <col min="2" max="2" width="26.6640625" style="19" bestFit="1" customWidth="1"/>
    <col min="3" max="3" width="191.77734375" style="19" bestFit="1" customWidth="1"/>
    <col min="4" max="4" width="23" style="49" bestFit="1" customWidth="1"/>
    <col min="5" max="6" width="67.21875" style="19" bestFit="1" customWidth="1"/>
    <col min="7" max="7" width="10.6640625" style="19" bestFit="1" customWidth="1"/>
    <col min="8" max="8" width="16.88671875" style="19"/>
    <col min="9" max="11" width="16.88671875" style="55"/>
    <col min="12" max="13" width="16.88671875" style="56"/>
    <col min="14" max="14" width="16.88671875" style="54"/>
    <col min="15" max="16" width="16.88671875" style="19"/>
    <col min="17" max="17" width="16.88671875" style="53"/>
    <col min="18" max="19" width="16.88671875" style="19"/>
    <col min="20" max="20" width="16.88671875" style="52"/>
    <col min="21" max="22" width="16.88671875" style="19"/>
    <col min="23" max="23" width="16.88671875" style="52"/>
    <col min="24" max="16384" width="16.88671875" style="19"/>
  </cols>
  <sheetData>
    <row r="1" spans="1:7" x14ac:dyDescent="0.3">
      <c r="A1" s="47" t="s">
        <v>136</v>
      </c>
      <c r="B1" s="19" t="s">
        <v>137</v>
      </c>
      <c r="C1" s="19" t="s">
        <v>138</v>
      </c>
      <c r="D1" s="49" t="s">
        <v>139</v>
      </c>
      <c r="E1" s="19" t="s">
        <v>140</v>
      </c>
      <c r="F1" s="19" t="s">
        <v>141</v>
      </c>
      <c r="G1" s="19" t="s">
        <v>142</v>
      </c>
    </row>
    <row r="2" spans="1:7" hidden="1" x14ac:dyDescent="0.3">
      <c r="A2" s="47" t="s">
        <v>143</v>
      </c>
      <c r="B2" s="19" t="s">
        <v>144</v>
      </c>
      <c r="C2" s="19" t="s">
        <v>145</v>
      </c>
      <c r="D2" s="49">
        <v>3500</v>
      </c>
      <c r="E2" s="19" t="s">
        <v>146</v>
      </c>
      <c r="F2" s="19" t="s">
        <v>146</v>
      </c>
      <c r="G2" s="19" t="s">
        <v>147</v>
      </c>
    </row>
    <row r="3" spans="1:7" hidden="1" x14ac:dyDescent="0.3">
      <c r="A3" s="47" t="s">
        <v>148</v>
      </c>
      <c r="B3" s="19" t="s">
        <v>149</v>
      </c>
      <c r="C3" s="19" t="s">
        <v>150</v>
      </c>
      <c r="D3" s="49">
        <v>2500</v>
      </c>
      <c r="E3" s="19" t="s">
        <v>151</v>
      </c>
      <c r="F3" s="19" t="s">
        <v>151</v>
      </c>
      <c r="G3" s="19" t="s">
        <v>147</v>
      </c>
    </row>
    <row r="4" spans="1:7" ht="43.2" hidden="1" x14ac:dyDescent="0.3">
      <c r="A4" s="47" t="s">
        <v>152</v>
      </c>
      <c r="B4" s="19" t="s">
        <v>153</v>
      </c>
      <c r="C4" s="19" t="s">
        <v>9</v>
      </c>
      <c r="D4" s="49">
        <v>2000</v>
      </c>
      <c r="E4" s="19" t="s">
        <v>146</v>
      </c>
      <c r="F4" s="19" t="s">
        <v>146</v>
      </c>
      <c r="G4" s="19" t="s">
        <v>147</v>
      </c>
    </row>
    <row r="5" spans="1:7" ht="28.8" hidden="1" x14ac:dyDescent="0.3">
      <c r="A5" s="47" t="s">
        <v>10</v>
      </c>
      <c r="B5" s="19" t="s">
        <v>154</v>
      </c>
      <c r="D5" s="49">
        <v>5000</v>
      </c>
      <c r="E5" s="19" t="s">
        <v>155</v>
      </c>
      <c r="F5" s="19" t="s">
        <v>155</v>
      </c>
      <c r="G5" s="19" t="s">
        <v>156</v>
      </c>
    </row>
    <row r="6" spans="1:7" hidden="1" x14ac:dyDescent="0.3">
      <c r="A6" s="47" t="s">
        <v>157</v>
      </c>
      <c r="B6" s="19" t="s">
        <v>158</v>
      </c>
      <c r="D6" s="49">
        <v>1500</v>
      </c>
      <c r="E6" s="19" t="s">
        <v>146</v>
      </c>
      <c r="F6" s="19" t="s">
        <v>146</v>
      </c>
      <c r="G6" s="19" t="s">
        <v>147</v>
      </c>
    </row>
    <row r="7" spans="1:7" ht="28.8" hidden="1" x14ac:dyDescent="0.3">
      <c r="A7" s="47" t="s">
        <v>14</v>
      </c>
      <c r="B7" s="19" t="s">
        <v>158</v>
      </c>
      <c r="D7" s="49">
        <v>2000</v>
      </c>
      <c r="E7" s="19" t="s">
        <v>146</v>
      </c>
      <c r="F7" s="19" t="s">
        <v>146</v>
      </c>
      <c r="G7" s="19" t="s">
        <v>147</v>
      </c>
    </row>
    <row r="8" spans="1:7" hidden="1" x14ac:dyDescent="0.3">
      <c r="A8" s="47" t="s">
        <v>159</v>
      </c>
      <c r="B8" s="19" t="s">
        <v>160</v>
      </c>
      <c r="D8" s="49">
        <v>2500</v>
      </c>
      <c r="E8" s="19" t="s">
        <v>15</v>
      </c>
      <c r="F8" s="19" t="s">
        <v>15</v>
      </c>
      <c r="G8" s="19" t="s">
        <v>147</v>
      </c>
    </row>
    <row r="9" spans="1:7" hidden="1" x14ac:dyDescent="0.3">
      <c r="A9" s="47" t="s">
        <v>161</v>
      </c>
      <c r="B9" s="19" t="s">
        <v>154</v>
      </c>
      <c r="D9" s="49">
        <v>5000</v>
      </c>
      <c r="E9" s="19" t="s">
        <v>155</v>
      </c>
      <c r="F9" s="19" t="s">
        <v>155</v>
      </c>
      <c r="G9" s="19" t="s">
        <v>156</v>
      </c>
    </row>
    <row r="10" spans="1:7" hidden="1" x14ac:dyDescent="0.3">
      <c r="A10" s="47" t="s">
        <v>162</v>
      </c>
      <c r="B10" s="19" t="s">
        <v>163</v>
      </c>
      <c r="C10" s="19" t="s">
        <v>164</v>
      </c>
      <c r="D10" s="49">
        <v>1000</v>
      </c>
      <c r="E10" s="19" t="s">
        <v>165</v>
      </c>
      <c r="F10" s="19" t="s">
        <v>166</v>
      </c>
      <c r="G10" s="19" t="s">
        <v>147</v>
      </c>
    </row>
    <row r="11" spans="1:7" ht="28.8" hidden="1" x14ac:dyDescent="0.3">
      <c r="A11" s="47" t="s">
        <v>167</v>
      </c>
      <c r="B11" s="19" t="s">
        <v>163</v>
      </c>
      <c r="C11" s="19" t="s">
        <v>168</v>
      </c>
      <c r="D11" s="49">
        <v>2000</v>
      </c>
      <c r="E11" s="19" t="s">
        <v>169</v>
      </c>
      <c r="F11" s="19" t="s">
        <v>169</v>
      </c>
      <c r="G11" s="19" t="s">
        <v>147</v>
      </c>
    </row>
    <row r="12" spans="1:7" hidden="1" x14ac:dyDescent="0.3">
      <c r="A12" s="47" t="s">
        <v>124</v>
      </c>
      <c r="B12" s="19" t="s">
        <v>170</v>
      </c>
      <c r="C12" s="19" t="s">
        <v>171</v>
      </c>
      <c r="D12" s="49">
        <v>1000</v>
      </c>
      <c r="E12" s="19" t="s">
        <v>172</v>
      </c>
      <c r="F12" s="19" t="s">
        <v>173</v>
      </c>
      <c r="G12" s="19" t="s">
        <v>147</v>
      </c>
    </row>
    <row r="13" spans="1:7" hidden="1" x14ac:dyDescent="0.3">
      <c r="A13" s="47" t="s">
        <v>174</v>
      </c>
      <c r="B13" s="19" t="s">
        <v>154</v>
      </c>
      <c r="D13" s="49">
        <v>5000</v>
      </c>
      <c r="E13" s="19" t="s">
        <v>175</v>
      </c>
      <c r="F13" s="19" t="s">
        <v>175</v>
      </c>
      <c r="G13" s="19" t="s">
        <v>147</v>
      </c>
    </row>
    <row r="14" spans="1:7" ht="28.8" hidden="1" x14ac:dyDescent="0.3">
      <c r="A14" s="47" t="s">
        <v>18</v>
      </c>
      <c r="B14" s="19" t="s">
        <v>170</v>
      </c>
      <c r="C14" s="19" t="s">
        <v>176</v>
      </c>
      <c r="D14" s="49">
        <v>2000</v>
      </c>
      <c r="E14" s="19" t="s">
        <v>151</v>
      </c>
      <c r="F14" s="19" t="s">
        <v>151</v>
      </c>
      <c r="G14" s="19" t="s">
        <v>147</v>
      </c>
    </row>
    <row r="15" spans="1:7" hidden="1" x14ac:dyDescent="0.3">
      <c r="A15" s="47" t="s">
        <v>177</v>
      </c>
      <c r="B15" s="19" t="s">
        <v>178</v>
      </c>
      <c r="C15" s="19" t="s">
        <v>178</v>
      </c>
      <c r="D15" s="49">
        <v>2500</v>
      </c>
      <c r="E15" s="19" t="s">
        <v>179</v>
      </c>
      <c r="F15" s="19" t="s">
        <v>151</v>
      </c>
      <c r="G15" s="19" t="s">
        <v>147</v>
      </c>
    </row>
    <row r="16" spans="1:7" hidden="1" x14ac:dyDescent="0.3">
      <c r="A16" s="47" t="s">
        <v>180</v>
      </c>
      <c r="B16" s="19" t="s">
        <v>154</v>
      </c>
      <c r="C16" s="19" t="s">
        <v>181</v>
      </c>
      <c r="D16" s="49">
        <v>5000</v>
      </c>
      <c r="E16" s="19" t="s">
        <v>175</v>
      </c>
      <c r="F16" s="19" t="s">
        <v>175</v>
      </c>
      <c r="G16" s="19" t="s">
        <v>147</v>
      </c>
    </row>
    <row r="17" spans="1:7" ht="28.8" hidden="1" x14ac:dyDescent="0.3">
      <c r="A17" s="47" t="s">
        <v>182</v>
      </c>
      <c r="B17" s="19" t="s">
        <v>183</v>
      </c>
      <c r="D17" s="49">
        <v>2500</v>
      </c>
      <c r="E17" s="19" t="s">
        <v>155</v>
      </c>
      <c r="F17" s="19" t="s">
        <v>155</v>
      </c>
      <c r="G17" s="19" t="s">
        <v>156</v>
      </c>
    </row>
    <row r="18" spans="1:7" hidden="1" x14ac:dyDescent="0.3">
      <c r="A18" s="47" t="s">
        <v>184</v>
      </c>
      <c r="B18" s="19" t="s">
        <v>163</v>
      </c>
      <c r="C18" s="19" t="s">
        <v>171</v>
      </c>
      <c r="D18" s="49">
        <v>2500</v>
      </c>
      <c r="E18" s="19" t="s">
        <v>155</v>
      </c>
      <c r="F18" s="19" t="s">
        <v>155</v>
      </c>
      <c r="G18" s="19" t="s">
        <v>156</v>
      </c>
    </row>
    <row r="19" spans="1:7" hidden="1" x14ac:dyDescent="0.3">
      <c r="A19" s="47" t="s">
        <v>185</v>
      </c>
      <c r="B19" s="19" t="s">
        <v>163</v>
      </c>
      <c r="C19" s="19" t="s">
        <v>186</v>
      </c>
      <c r="D19" s="49">
        <v>3500</v>
      </c>
      <c r="E19" s="19" t="s">
        <v>151</v>
      </c>
      <c r="F19" s="19" t="s">
        <v>151</v>
      </c>
      <c r="G19" s="19" t="s">
        <v>147</v>
      </c>
    </row>
    <row r="20" spans="1:7" ht="28.8" hidden="1" x14ac:dyDescent="0.3">
      <c r="A20" s="47" t="s">
        <v>187</v>
      </c>
      <c r="B20" s="19" t="s">
        <v>188</v>
      </c>
      <c r="C20" s="19" t="s">
        <v>189</v>
      </c>
      <c r="D20" s="49">
        <v>2500</v>
      </c>
      <c r="E20" s="19" t="s">
        <v>175</v>
      </c>
      <c r="F20" s="19" t="s">
        <v>175</v>
      </c>
      <c r="G20" s="19" t="s">
        <v>147</v>
      </c>
    </row>
    <row r="21" spans="1:7" x14ac:dyDescent="0.3">
      <c r="A21" s="47" t="s">
        <v>190</v>
      </c>
      <c r="B21" s="19" t="s">
        <v>153</v>
      </c>
      <c r="C21" s="19" t="s">
        <v>153</v>
      </c>
      <c r="D21" s="49">
        <v>2500</v>
      </c>
      <c r="E21" s="19" t="s">
        <v>155</v>
      </c>
      <c r="F21" s="19" t="s">
        <v>155</v>
      </c>
      <c r="G21" s="19" t="s">
        <v>156</v>
      </c>
    </row>
    <row r="22" spans="1:7" ht="28.8" hidden="1" x14ac:dyDescent="0.3">
      <c r="A22" s="47" t="s">
        <v>20</v>
      </c>
      <c r="B22" s="19" t="s">
        <v>191</v>
      </c>
      <c r="C22" s="19" t="s">
        <v>191</v>
      </c>
      <c r="D22" s="49">
        <v>1500</v>
      </c>
      <c r="E22" s="19" t="s">
        <v>192</v>
      </c>
      <c r="F22" s="19" t="s">
        <v>155</v>
      </c>
      <c r="G22" s="19" t="s">
        <v>156</v>
      </c>
    </row>
    <row r="23" spans="1:7" hidden="1" x14ac:dyDescent="0.3">
      <c r="A23" s="47" t="s">
        <v>21</v>
      </c>
      <c r="B23" s="19" t="s">
        <v>144</v>
      </c>
      <c r="D23" s="49">
        <v>3500</v>
      </c>
      <c r="E23" s="19" t="s">
        <v>155</v>
      </c>
      <c r="F23" s="19" t="s">
        <v>155</v>
      </c>
      <c r="G23" s="19" t="s">
        <v>156</v>
      </c>
    </row>
    <row r="24" spans="1:7" hidden="1" x14ac:dyDescent="0.3">
      <c r="A24" s="47" t="s">
        <v>193</v>
      </c>
      <c r="B24" s="19" t="s">
        <v>191</v>
      </c>
      <c r="D24" s="49">
        <v>2000</v>
      </c>
      <c r="E24" s="19" t="s">
        <v>194</v>
      </c>
      <c r="F24" s="19" t="s">
        <v>173</v>
      </c>
      <c r="G24" s="19" t="s">
        <v>147</v>
      </c>
    </row>
    <row r="25" spans="1:7" hidden="1" x14ac:dyDescent="0.3">
      <c r="A25" s="47" t="s">
        <v>195</v>
      </c>
      <c r="B25" s="19" t="s">
        <v>149</v>
      </c>
      <c r="C25" s="19" t="s">
        <v>196</v>
      </c>
      <c r="D25" s="49">
        <v>2000</v>
      </c>
      <c r="E25" s="19" t="s">
        <v>197</v>
      </c>
      <c r="F25" s="19" t="s">
        <v>198</v>
      </c>
      <c r="G25" s="19" t="s">
        <v>147</v>
      </c>
    </row>
    <row r="26" spans="1:7" hidden="1" x14ac:dyDescent="0.3">
      <c r="A26" s="47" t="s">
        <v>75</v>
      </c>
      <c r="B26" s="19" t="s">
        <v>199</v>
      </c>
      <c r="D26" s="49">
        <v>1500</v>
      </c>
      <c r="E26" s="19" t="s">
        <v>155</v>
      </c>
      <c r="F26" s="19" t="s">
        <v>155</v>
      </c>
      <c r="G26" s="19" t="s">
        <v>156</v>
      </c>
    </row>
    <row r="27" spans="1:7" hidden="1" x14ac:dyDescent="0.3">
      <c r="A27" s="47" t="s">
        <v>200</v>
      </c>
      <c r="B27" s="19" t="s">
        <v>163</v>
      </c>
      <c r="D27" s="49">
        <v>2000</v>
      </c>
      <c r="E27" s="19" t="s">
        <v>201</v>
      </c>
      <c r="F27" s="19" t="s">
        <v>173</v>
      </c>
      <c r="G27" s="19" t="s">
        <v>147</v>
      </c>
    </row>
    <row r="28" spans="1:7" ht="28.8" hidden="1" x14ac:dyDescent="0.3">
      <c r="A28" s="47" t="s">
        <v>202</v>
      </c>
      <c r="B28" s="19" t="s">
        <v>144</v>
      </c>
      <c r="C28" s="19" t="s">
        <v>203</v>
      </c>
      <c r="D28" s="49">
        <v>2500</v>
      </c>
      <c r="E28" s="19" t="s">
        <v>204</v>
      </c>
      <c r="F28" s="19" t="s">
        <v>205</v>
      </c>
      <c r="G28" s="19" t="s">
        <v>147</v>
      </c>
    </row>
    <row r="29" spans="1:7" hidden="1" x14ac:dyDescent="0.3">
      <c r="A29" s="47" t="s">
        <v>133</v>
      </c>
      <c r="B29" s="19" t="s">
        <v>170</v>
      </c>
      <c r="D29" s="49">
        <v>2500</v>
      </c>
      <c r="E29" s="19" t="s">
        <v>155</v>
      </c>
      <c r="F29" s="19" t="s">
        <v>155</v>
      </c>
      <c r="G29" s="19" t="s">
        <v>156</v>
      </c>
    </row>
    <row r="30" spans="1:7" hidden="1" x14ac:dyDescent="0.3">
      <c r="A30" s="47" t="s">
        <v>206</v>
      </c>
      <c r="B30" s="19" t="s">
        <v>207</v>
      </c>
      <c r="C30" s="19" t="s">
        <v>208</v>
      </c>
      <c r="D30" s="49">
        <v>2500</v>
      </c>
      <c r="E30" s="19" t="s">
        <v>209</v>
      </c>
      <c r="F30" s="19" t="s">
        <v>201</v>
      </c>
      <c r="G30" s="19" t="s">
        <v>147</v>
      </c>
    </row>
    <row r="31" spans="1:7" hidden="1" x14ac:dyDescent="0.3">
      <c r="A31" s="47" t="s">
        <v>22</v>
      </c>
      <c r="B31" s="19" t="s">
        <v>210</v>
      </c>
      <c r="D31" s="49">
        <v>2500</v>
      </c>
      <c r="E31" s="19" t="s">
        <v>155</v>
      </c>
      <c r="F31" s="19" t="s">
        <v>155</v>
      </c>
      <c r="G31" s="19" t="s">
        <v>156</v>
      </c>
    </row>
    <row r="32" spans="1:7" hidden="1" x14ac:dyDescent="0.3">
      <c r="A32" s="47" t="s">
        <v>211</v>
      </c>
      <c r="B32" s="19" t="s">
        <v>154</v>
      </c>
      <c r="D32" s="49">
        <v>5000</v>
      </c>
      <c r="E32" s="19" t="s">
        <v>15</v>
      </c>
      <c r="F32" s="19" t="s">
        <v>15</v>
      </c>
      <c r="G32" s="19" t="s">
        <v>147</v>
      </c>
    </row>
    <row r="33" spans="1:7" hidden="1" x14ac:dyDescent="0.3">
      <c r="A33" s="47" t="s">
        <v>212</v>
      </c>
      <c r="B33" s="19" t="s">
        <v>154</v>
      </c>
      <c r="D33" s="49">
        <v>5000</v>
      </c>
      <c r="E33" s="19" t="s">
        <v>175</v>
      </c>
      <c r="F33" s="19" t="s">
        <v>175</v>
      </c>
      <c r="G33" s="19" t="s">
        <v>147</v>
      </c>
    </row>
    <row r="34" spans="1:7" hidden="1" x14ac:dyDescent="0.3">
      <c r="A34" s="47" t="s">
        <v>213</v>
      </c>
      <c r="B34" s="19" t="s">
        <v>170</v>
      </c>
      <c r="C34" s="19" t="s">
        <v>170</v>
      </c>
      <c r="D34" s="49">
        <v>2000</v>
      </c>
      <c r="E34" s="19" t="s">
        <v>146</v>
      </c>
      <c r="F34" s="19" t="s">
        <v>201</v>
      </c>
      <c r="G34" s="19" t="s">
        <v>147</v>
      </c>
    </row>
    <row r="35" spans="1:7" ht="28.8" hidden="1" x14ac:dyDescent="0.3">
      <c r="A35" s="47" t="s">
        <v>23</v>
      </c>
      <c r="B35" s="19" t="s">
        <v>144</v>
      </c>
      <c r="C35" s="19" t="s">
        <v>144</v>
      </c>
      <c r="D35" s="49">
        <v>2000</v>
      </c>
      <c r="E35" s="19" t="s">
        <v>146</v>
      </c>
      <c r="F35" s="19" t="s">
        <v>214</v>
      </c>
      <c r="G35" s="19" t="s">
        <v>147</v>
      </c>
    </row>
    <row r="36" spans="1:7" hidden="1" x14ac:dyDescent="0.3">
      <c r="A36" s="47" t="s">
        <v>215</v>
      </c>
      <c r="B36" s="19" t="s">
        <v>216</v>
      </c>
      <c r="C36" s="19" t="s">
        <v>217</v>
      </c>
      <c r="D36" s="49">
        <v>2000</v>
      </c>
      <c r="E36" s="19" t="s">
        <v>218</v>
      </c>
      <c r="F36" s="19" t="s">
        <v>219</v>
      </c>
      <c r="G36" s="19" t="s">
        <v>147</v>
      </c>
    </row>
    <row r="37" spans="1:7" hidden="1" x14ac:dyDescent="0.3">
      <c r="A37" s="47" t="s">
        <v>220</v>
      </c>
      <c r="B37" s="19" t="s">
        <v>154</v>
      </c>
      <c r="D37" s="49">
        <v>5000</v>
      </c>
      <c r="E37" s="19" t="s">
        <v>155</v>
      </c>
      <c r="F37" s="19" t="s">
        <v>155</v>
      </c>
      <c r="G37" s="19" t="s">
        <v>156</v>
      </c>
    </row>
    <row r="38" spans="1:7" hidden="1" x14ac:dyDescent="0.3">
      <c r="A38" s="47" t="s">
        <v>221</v>
      </c>
      <c r="B38" s="19" t="s">
        <v>191</v>
      </c>
      <c r="D38" s="49">
        <v>2500</v>
      </c>
      <c r="E38" s="19" t="s">
        <v>175</v>
      </c>
      <c r="F38" s="19" t="s">
        <v>175</v>
      </c>
      <c r="G38" s="19" t="s">
        <v>147</v>
      </c>
    </row>
    <row r="39" spans="1:7" hidden="1" x14ac:dyDescent="0.3">
      <c r="A39" s="47" t="s">
        <v>24</v>
      </c>
      <c r="B39" s="19" t="s">
        <v>207</v>
      </c>
      <c r="D39" s="49">
        <v>1500</v>
      </c>
      <c r="E39" s="19" t="s">
        <v>146</v>
      </c>
      <c r="F39" s="19" t="s">
        <v>146</v>
      </c>
      <c r="G39" s="19" t="s">
        <v>147</v>
      </c>
    </row>
    <row r="40" spans="1:7" hidden="1" x14ac:dyDescent="0.3">
      <c r="A40" s="47" t="s">
        <v>222</v>
      </c>
      <c r="B40" s="19" t="s">
        <v>153</v>
      </c>
      <c r="D40" s="49">
        <v>2000</v>
      </c>
      <c r="E40" s="19" t="s">
        <v>166</v>
      </c>
      <c r="F40" s="19" t="s">
        <v>166</v>
      </c>
      <c r="G40" s="19" t="s">
        <v>147</v>
      </c>
    </row>
    <row r="41" spans="1:7" hidden="1" x14ac:dyDescent="0.3">
      <c r="A41" s="47" t="s">
        <v>223</v>
      </c>
      <c r="B41" s="19" t="s">
        <v>158</v>
      </c>
      <c r="C41" s="19" t="s">
        <v>183</v>
      </c>
      <c r="D41" s="49">
        <v>2500</v>
      </c>
      <c r="E41" s="19" t="s">
        <v>224</v>
      </c>
      <c r="F41" s="19" t="s">
        <v>225</v>
      </c>
      <c r="G41" s="19" t="s">
        <v>147</v>
      </c>
    </row>
    <row r="42" spans="1:7" hidden="1" x14ac:dyDescent="0.3">
      <c r="A42" s="47" t="s">
        <v>226</v>
      </c>
      <c r="B42" s="19" t="s">
        <v>170</v>
      </c>
      <c r="D42" s="49">
        <v>5000</v>
      </c>
      <c r="E42" s="19" t="s">
        <v>201</v>
      </c>
      <c r="F42" s="19" t="s">
        <v>201</v>
      </c>
      <c r="G42" s="19" t="s">
        <v>147</v>
      </c>
    </row>
    <row r="43" spans="1:7" hidden="1" x14ac:dyDescent="0.3">
      <c r="A43" s="47" t="s">
        <v>70</v>
      </c>
      <c r="B43" s="19" t="s">
        <v>144</v>
      </c>
      <c r="D43" s="49">
        <v>2500</v>
      </c>
      <c r="E43" s="19" t="s">
        <v>175</v>
      </c>
      <c r="F43" s="19" t="s">
        <v>175</v>
      </c>
      <c r="G43" s="19" t="s">
        <v>147</v>
      </c>
    </row>
    <row r="44" spans="1:7" hidden="1" x14ac:dyDescent="0.3">
      <c r="A44" s="47" t="s">
        <v>25</v>
      </c>
      <c r="B44" s="19" t="s">
        <v>144</v>
      </c>
      <c r="D44" s="49">
        <v>2500</v>
      </c>
      <c r="E44" s="19" t="s">
        <v>227</v>
      </c>
      <c r="F44" s="19" t="s">
        <v>151</v>
      </c>
      <c r="G44" s="19" t="s">
        <v>147</v>
      </c>
    </row>
    <row r="45" spans="1:7" hidden="1" x14ac:dyDescent="0.3">
      <c r="A45" s="47" t="s">
        <v>228</v>
      </c>
      <c r="B45" s="19" t="s">
        <v>191</v>
      </c>
      <c r="D45" s="49">
        <v>1000</v>
      </c>
      <c r="E45" s="19" t="s">
        <v>229</v>
      </c>
      <c r="F45" s="19" t="s">
        <v>166</v>
      </c>
      <c r="G45" s="19" t="s">
        <v>147</v>
      </c>
    </row>
    <row r="46" spans="1:7" hidden="1" x14ac:dyDescent="0.3">
      <c r="A46" s="47" t="s">
        <v>26</v>
      </c>
      <c r="B46" s="19" t="s">
        <v>153</v>
      </c>
      <c r="D46" s="49">
        <v>2000</v>
      </c>
      <c r="E46" s="19" t="s">
        <v>166</v>
      </c>
      <c r="F46" s="19" t="s">
        <v>166</v>
      </c>
      <c r="G46" s="19" t="s">
        <v>147</v>
      </c>
    </row>
    <row r="47" spans="1:7" hidden="1" x14ac:dyDescent="0.3">
      <c r="A47" s="47" t="s">
        <v>27</v>
      </c>
      <c r="B47" s="19" t="s">
        <v>149</v>
      </c>
      <c r="D47" s="49">
        <v>2000</v>
      </c>
      <c r="E47" s="19" t="s">
        <v>230</v>
      </c>
      <c r="F47" s="19" t="s">
        <v>219</v>
      </c>
      <c r="G47" s="19" t="s">
        <v>147</v>
      </c>
    </row>
    <row r="48" spans="1:7" ht="43.2" hidden="1" x14ac:dyDescent="0.3">
      <c r="A48" s="47" t="s">
        <v>231</v>
      </c>
      <c r="B48" s="19" t="s">
        <v>158</v>
      </c>
      <c r="D48" s="49">
        <v>2500</v>
      </c>
      <c r="E48" s="19" t="s">
        <v>155</v>
      </c>
      <c r="F48" s="19" t="s">
        <v>155</v>
      </c>
      <c r="G48" s="19" t="s">
        <v>156</v>
      </c>
    </row>
    <row r="49" spans="1:7" ht="28.8" hidden="1" x14ac:dyDescent="0.3">
      <c r="A49" s="47" t="s">
        <v>232</v>
      </c>
      <c r="B49" s="19" t="s">
        <v>170</v>
      </c>
      <c r="E49" s="19" t="s">
        <v>233</v>
      </c>
      <c r="F49" s="19" t="s">
        <v>233</v>
      </c>
      <c r="G49" s="19" t="s">
        <v>147</v>
      </c>
    </row>
    <row r="50" spans="1:7" ht="43.2" hidden="1" x14ac:dyDescent="0.3">
      <c r="A50" s="47" t="s">
        <v>234</v>
      </c>
      <c r="B50" s="19" t="s">
        <v>183</v>
      </c>
      <c r="D50" s="49">
        <v>2000</v>
      </c>
      <c r="E50" s="19" t="s">
        <v>146</v>
      </c>
      <c r="F50" s="19" t="s">
        <v>146</v>
      </c>
      <c r="G50" s="19" t="s">
        <v>147</v>
      </c>
    </row>
    <row r="51" spans="1:7" hidden="1" x14ac:dyDescent="0.3">
      <c r="A51" s="47" t="s">
        <v>235</v>
      </c>
      <c r="B51" s="19" t="s">
        <v>163</v>
      </c>
      <c r="D51" s="49">
        <v>2000</v>
      </c>
      <c r="E51" s="19" t="s">
        <v>166</v>
      </c>
      <c r="F51" s="19" t="s">
        <v>166</v>
      </c>
      <c r="G51" s="19" t="s">
        <v>147</v>
      </c>
    </row>
    <row r="52" spans="1:7" hidden="1" x14ac:dyDescent="0.3">
      <c r="A52" s="47" t="s">
        <v>236</v>
      </c>
      <c r="B52" s="19" t="s">
        <v>154</v>
      </c>
      <c r="D52" s="49">
        <v>5000</v>
      </c>
      <c r="E52" s="19" t="s">
        <v>237</v>
      </c>
      <c r="F52" s="19" t="s">
        <v>155</v>
      </c>
      <c r="G52" s="19" t="s">
        <v>156</v>
      </c>
    </row>
    <row r="53" spans="1:7" hidden="1" x14ac:dyDescent="0.3">
      <c r="A53" s="47" t="s">
        <v>238</v>
      </c>
      <c r="B53" s="19" t="s">
        <v>160</v>
      </c>
      <c r="D53" s="49">
        <v>2500</v>
      </c>
      <c r="E53" s="19" t="s">
        <v>155</v>
      </c>
      <c r="F53" s="19" t="s">
        <v>155</v>
      </c>
      <c r="G53" s="19" t="s">
        <v>156</v>
      </c>
    </row>
    <row r="54" spans="1:7" hidden="1" x14ac:dyDescent="0.3">
      <c r="A54" s="47" t="s">
        <v>239</v>
      </c>
      <c r="B54" s="19" t="s">
        <v>154</v>
      </c>
      <c r="D54" s="49">
        <v>5000</v>
      </c>
      <c r="E54" s="19" t="s">
        <v>175</v>
      </c>
      <c r="F54" s="19" t="s">
        <v>219</v>
      </c>
      <c r="G54" s="19" t="s">
        <v>147</v>
      </c>
    </row>
    <row r="55" spans="1:7" hidden="1" x14ac:dyDescent="0.3">
      <c r="A55" s="47" t="s">
        <v>240</v>
      </c>
      <c r="B55" s="19" t="s">
        <v>191</v>
      </c>
      <c r="D55" s="49">
        <v>1000</v>
      </c>
      <c r="E55" s="19" t="s">
        <v>166</v>
      </c>
      <c r="F55" s="19" t="s">
        <v>166</v>
      </c>
      <c r="G55" s="19" t="s">
        <v>147</v>
      </c>
    </row>
    <row r="56" spans="1:7" hidden="1" x14ac:dyDescent="0.3">
      <c r="A56" s="47" t="s">
        <v>130</v>
      </c>
      <c r="B56" s="19" t="s">
        <v>163</v>
      </c>
      <c r="C56" s="19" t="s">
        <v>163</v>
      </c>
      <c r="D56" s="49">
        <v>2000</v>
      </c>
      <c r="E56" s="19" t="s">
        <v>155</v>
      </c>
      <c r="F56" s="19" t="s">
        <v>155</v>
      </c>
      <c r="G56" s="19" t="s">
        <v>156</v>
      </c>
    </row>
    <row r="57" spans="1:7" hidden="1" x14ac:dyDescent="0.3">
      <c r="A57" s="47" t="s">
        <v>241</v>
      </c>
      <c r="B57" s="19" t="s">
        <v>191</v>
      </c>
      <c r="D57" s="49">
        <v>1000</v>
      </c>
      <c r="E57" s="19" t="s">
        <v>242</v>
      </c>
      <c r="F57" s="19" t="s">
        <v>166</v>
      </c>
      <c r="G57" s="19" t="s">
        <v>147</v>
      </c>
    </row>
    <row r="58" spans="1:7" hidden="1" x14ac:dyDescent="0.3">
      <c r="A58" s="47" t="s">
        <v>243</v>
      </c>
      <c r="B58" s="19" t="s">
        <v>170</v>
      </c>
      <c r="D58" s="49">
        <v>1500</v>
      </c>
      <c r="E58" s="19" t="s">
        <v>146</v>
      </c>
      <c r="F58" s="19" t="s">
        <v>146</v>
      </c>
      <c r="G58" s="19" t="s">
        <v>147</v>
      </c>
    </row>
    <row r="59" spans="1:7" ht="28.8" hidden="1" x14ac:dyDescent="0.3">
      <c r="A59" s="47" t="s">
        <v>28</v>
      </c>
      <c r="B59" s="19" t="s">
        <v>144</v>
      </c>
      <c r="D59" s="49">
        <v>2500</v>
      </c>
      <c r="E59" s="19" t="s">
        <v>175</v>
      </c>
      <c r="F59" s="19" t="s">
        <v>175</v>
      </c>
      <c r="G59" s="19" t="s">
        <v>147</v>
      </c>
    </row>
    <row r="60" spans="1:7" hidden="1" x14ac:dyDescent="0.3">
      <c r="A60" s="47" t="s">
        <v>29</v>
      </c>
      <c r="B60" s="19" t="s">
        <v>144</v>
      </c>
      <c r="C60" s="19" t="s">
        <v>144</v>
      </c>
      <c r="D60" s="49">
        <v>2500</v>
      </c>
      <c r="E60" s="19" t="s">
        <v>155</v>
      </c>
      <c r="F60" s="19" t="s">
        <v>155</v>
      </c>
      <c r="G60" s="19" t="s">
        <v>156</v>
      </c>
    </row>
    <row r="61" spans="1:7" hidden="1" x14ac:dyDescent="0.3">
      <c r="A61" s="47" t="s">
        <v>30</v>
      </c>
      <c r="B61" s="19" t="s">
        <v>144</v>
      </c>
      <c r="D61" s="49">
        <v>3500</v>
      </c>
      <c r="E61" s="19" t="s">
        <v>155</v>
      </c>
      <c r="F61" s="19" t="s">
        <v>155</v>
      </c>
      <c r="G61" s="19" t="s">
        <v>156</v>
      </c>
    </row>
    <row r="62" spans="1:7" hidden="1" x14ac:dyDescent="0.3">
      <c r="A62" s="47" t="s">
        <v>31</v>
      </c>
      <c r="B62" s="19" t="s">
        <v>191</v>
      </c>
      <c r="C62" s="19" t="s">
        <v>191</v>
      </c>
      <c r="D62" s="49">
        <v>1000</v>
      </c>
      <c r="E62" s="19" t="s">
        <v>166</v>
      </c>
      <c r="F62" s="19" t="s">
        <v>166</v>
      </c>
      <c r="G62" s="19" t="s">
        <v>147</v>
      </c>
    </row>
    <row r="63" spans="1:7" hidden="1" x14ac:dyDescent="0.3">
      <c r="A63" s="47" t="s">
        <v>244</v>
      </c>
      <c r="B63" s="19" t="s">
        <v>191</v>
      </c>
      <c r="D63" s="49">
        <v>2000</v>
      </c>
      <c r="E63" s="19" t="s">
        <v>151</v>
      </c>
      <c r="F63" s="19" t="s">
        <v>151</v>
      </c>
      <c r="G63" s="19" t="s">
        <v>147</v>
      </c>
    </row>
    <row r="64" spans="1:7" hidden="1" x14ac:dyDescent="0.3">
      <c r="A64" s="47" t="s">
        <v>245</v>
      </c>
      <c r="B64" s="19" t="s">
        <v>144</v>
      </c>
      <c r="C64" s="19" t="s">
        <v>246</v>
      </c>
      <c r="D64" s="49">
        <v>2000</v>
      </c>
      <c r="E64" s="19" t="s">
        <v>175</v>
      </c>
      <c r="F64" s="19" t="s">
        <v>175</v>
      </c>
      <c r="G64" s="19" t="s">
        <v>147</v>
      </c>
    </row>
    <row r="65" spans="1:7" hidden="1" x14ac:dyDescent="0.3">
      <c r="A65" s="47" t="s">
        <v>247</v>
      </c>
      <c r="B65" s="19" t="s">
        <v>191</v>
      </c>
      <c r="D65" s="49">
        <v>2000</v>
      </c>
      <c r="E65" s="19" t="s">
        <v>237</v>
      </c>
      <c r="F65" s="19" t="s">
        <v>237</v>
      </c>
      <c r="G65" s="19" t="s">
        <v>156</v>
      </c>
    </row>
    <row r="66" spans="1:7" hidden="1" x14ac:dyDescent="0.3">
      <c r="A66" s="47" t="s">
        <v>118</v>
      </c>
      <c r="B66" s="19" t="s">
        <v>163</v>
      </c>
      <c r="D66" s="49">
        <v>2500</v>
      </c>
      <c r="E66" s="19" t="s">
        <v>155</v>
      </c>
      <c r="F66" s="19" t="s">
        <v>155</v>
      </c>
      <c r="G66" s="19" t="s">
        <v>156</v>
      </c>
    </row>
    <row r="67" spans="1:7" hidden="1" x14ac:dyDescent="0.3">
      <c r="A67" s="47" t="s">
        <v>248</v>
      </c>
      <c r="B67" s="19" t="s">
        <v>144</v>
      </c>
      <c r="C67" s="19" t="s">
        <v>144</v>
      </c>
      <c r="D67" s="49">
        <v>3500</v>
      </c>
      <c r="E67" s="19" t="s">
        <v>155</v>
      </c>
      <c r="F67" s="19" t="s">
        <v>155</v>
      </c>
      <c r="G67" s="19" t="s">
        <v>156</v>
      </c>
    </row>
    <row r="68" spans="1:7" hidden="1" x14ac:dyDescent="0.3">
      <c r="A68" s="47" t="s">
        <v>249</v>
      </c>
      <c r="B68" s="19" t="s">
        <v>170</v>
      </c>
      <c r="D68" s="49">
        <v>2500</v>
      </c>
      <c r="E68" s="19" t="s">
        <v>155</v>
      </c>
      <c r="F68" s="19" t="s">
        <v>155</v>
      </c>
      <c r="G68" s="19" t="s">
        <v>156</v>
      </c>
    </row>
    <row r="69" spans="1:7" hidden="1" x14ac:dyDescent="0.3">
      <c r="A69" s="47" t="s">
        <v>250</v>
      </c>
      <c r="B69" s="19" t="s">
        <v>207</v>
      </c>
      <c r="C69" s="19" t="s">
        <v>32</v>
      </c>
      <c r="D69" s="49">
        <v>2500</v>
      </c>
      <c r="E69" s="19" t="s">
        <v>33</v>
      </c>
      <c r="F69" s="19" t="s">
        <v>219</v>
      </c>
      <c r="G69" s="19" t="s">
        <v>147</v>
      </c>
    </row>
    <row r="70" spans="1:7" hidden="1" x14ac:dyDescent="0.3">
      <c r="A70" s="47" t="s">
        <v>251</v>
      </c>
      <c r="B70" s="19" t="s">
        <v>149</v>
      </c>
      <c r="C70" s="19" t="s">
        <v>252</v>
      </c>
      <c r="D70" s="49">
        <v>1500</v>
      </c>
      <c r="E70" s="19" t="s">
        <v>237</v>
      </c>
      <c r="F70" s="19" t="s">
        <v>237</v>
      </c>
      <c r="G70" s="19" t="s">
        <v>156</v>
      </c>
    </row>
    <row r="71" spans="1:7" ht="28.8" hidden="1" x14ac:dyDescent="0.3">
      <c r="A71" s="47" t="s">
        <v>253</v>
      </c>
      <c r="B71" s="19" t="s">
        <v>153</v>
      </c>
      <c r="D71" s="49">
        <v>2000</v>
      </c>
      <c r="E71" s="19" t="s">
        <v>146</v>
      </c>
      <c r="F71" s="19" t="s">
        <v>146</v>
      </c>
      <c r="G71" s="19" t="s">
        <v>147</v>
      </c>
    </row>
    <row r="72" spans="1:7" hidden="1" x14ac:dyDescent="0.3">
      <c r="A72" s="47" t="s">
        <v>254</v>
      </c>
      <c r="B72" s="19" t="s">
        <v>255</v>
      </c>
      <c r="D72" s="49">
        <v>1500</v>
      </c>
      <c r="E72" s="19" t="s">
        <v>155</v>
      </c>
      <c r="F72" s="19" t="s">
        <v>155</v>
      </c>
      <c r="G72" s="19" t="s">
        <v>156</v>
      </c>
    </row>
    <row r="73" spans="1:7" ht="28.8" hidden="1" x14ac:dyDescent="0.3">
      <c r="A73" s="47" t="s">
        <v>34</v>
      </c>
      <c r="B73" s="19" t="s">
        <v>183</v>
      </c>
      <c r="D73" s="49">
        <v>2500</v>
      </c>
      <c r="E73" s="19" t="s">
        <v>256</v>
      </c>
      <c r="F73" s="19" t="s">
        <v>257</v>
      </c>
      <c r="G73" s="19" t="s">
        <v>147</v>
      </c>
    </row>
    <row r="74" spans="1:7" ht="28.8" hidden="1" x14ac:dyDescent="0.3">
      <c r="A74" s="47" t="s">
        <v>35</v>
      </c>
      <c r="B74" s="19" t="s">
        <v>258</v>
      </c>
      <c r="D74" s="49">
        <v>2500</v>
      </c>
      <c r="E74" s="19" t="s">
        <v>155</v>
      </c>
      <c r="F74" s="19" t="s">
        <v>155</v>
      </c>
      <c r="G74" s="19" t="s">
        <v>156</v>
      </c>
    </row>
    <row r="75" spans="1:7" hidden="1" x14ac:dyDescent="0.3">
      <c r="A75" s="47" t="s">
        <v>259</v>
      </c>
      <c r="B75" s="19" t="s">
        <v>183</v>
      </c>
      <c r="C75" s="19" t="s">
        <v>260</v>
      </c>
      <c r="D75" s="49">
        <v>2500</v>
      </c>
      <c r="E75" s="19" t="s">
        <v>155</v>
      </c>
      <c r="F75" s="19" t="s">
        <v>155</v>
      </c>
      <c r="G75" s="19" t="s">
        <v>156</v>
      </c>
    </row>
    <row r="76" spans="1:7" hidden="1" x14ac:dyDescent="0.3">
      <c r="A76" s="47" t="s">
        <v>36</v>
      </c>
      <c r="B76" s="19" t="s">
        <v>191</v>
      </c>
      <c r="C76" s="19" t="s">
        <v>191</v>
      </c>
      <c r="D76" s="49">
        <v>1000</v>
      </c>
      <c r="E76" s="19" t="s">
        <v>261</v>
      </c>
      <c r="F76" s="19" t="s">
        <v>166</v>
      </c>
      <c r="G76" s="19" t="s">
        <v>147</v>
      </c>
    </row>
    <row r="77" spans="1:7" hidden="1" x14ac:dyDescent="0.3">
      <c r="A77" s="47" t="s">
        <v>262</v>
      </c>
      <c r="B77" s="19" t="s">
        <v>255</v>
      </c>
      <c r="C77" s="19" t="s">
        <v>255</v>
      </c>
      <c r="D77" s="49">
        <v>2500</v>
      </c>
      <c r="E77" s="19" t="s">
        <v>263</v>
      </c>
      <c r="F77" s="19" t="s">
        <v>264</v>
      </c>
      <c r="G77" s="19" t="s">
        <v>147</v>
      </c>
    </row>
    <row r="78" spans="1:7" hidden="1" x14ac:dyDescent="0.3">
      <c r="A78" s="47" t="s">
        <v>37</v>
      </c>
      <c r="B78" s="19" t="s">
        <v>153</v>
      </c>
      <c r="D78" s="49">
        <v>1000</v>
      </c>
      <c r="E78" s="19" t="s">
        <v>166</v>
      </c>
      <c r="F78" s="19" t="s">
        <v>166</v>
      </c>
      <c r="G78" s="19" t="s">
        <v>147</v>
      </c>
    </row>
    <row r="79" spans="1:7" hidden="1" x14ac:dyDescent="0.3">
      <c r="A79" s="47" t="s">
        <v>38</v>
      </c>
      <c r="B79" s="19" t="s">
        <v>207</v>
      </c>
      <c r="D79" s="49">
        <v>2500</v>
      </c>
      <c r="E79" s="19" t="s">
        <v>233</v>
      </c>
      <c r="F79" s="19" t="s">
        <v>265</v>
      </c>
      <c r="G79" s="19" t="s">
        <v>147</v>
      </c>
    </row>
    <row r="80" spans="1:7" hidden="1" x14ac:dyDescent="0.3">
      <c r="A80" s="47" t="s">
        <v>39</v>
      </c>
      <c r="B80" s="19" t="s">
        <v>153</v>
      </c>
      <c r="D80" s="49">
        <v>2000</v>
      </c>
      <c r="E80" s="19" t="s">
        <v>266</v>
      </c>
      <c r="F80" s="19" t="s">
        <v>267</v>
      </c>
      <c r="G80" s="19" t="s">
        <v>147</v>
      </c>
    </row>
    <row r="81" spans="1:7" hidden="1" x14ac:dyDescent="0.3">
      <c r="A81" s="47" t="s">
        <v>40</v>
      </c>
      <c r="B81" s="19" t="s">
        <v>144</v>
      </c>
      <c r="D81" s="49">
        <v>2000</v>
      </c>
      <c r="E81" s="19" t="s">
        <v>268</v>
      </c>
      <c r="F81" s="19" t="s">
        <v>269</v>
      </c>
      <c r="G81" s="19" t="s">
        <v>147</v>
      </c>
    </row>
    <row r="82" spans="1:7" hidden="1" x14ac:dyDescent="0.3">
      <c r="A82" s="47" t="s">
        <v>270</v>
      </c>
      <c r="B82" s="19" t="s">
        <v>191</v>
      </c>
      <c r="C82" s="19" t="s">
        <v>191</v>
      </c>
      <c r="D82" s="49">
        <v>1000</v>
      </c>
      <c r="E82" s="19" t="s">
        <v>242</v>
      </c>
      <c r="F82" s="19" t="s">
        <v>166</v>
      </c>
      <c r="G82" s="19" t="s">
        <v>147</v>
      </c>
    </row>
    <row r="83" spans="1:7" hidden="1" x14ac:dyDescent="0.3">
      <c r="A83" s="47" t="s">
        <v>271</v>
      </c>
      <c r="B83" s="19" t="s">
        <v>163</v>
      </c>
      <c r="D83" s="49">
        <v>2500</v>
      </c>
      <c r="E83" s="19" t="s">
        <v>166</v>
      </c>
      <c r="F83" s="19" t="s">
        <v>155</v>
      </c>
      <c r="G83" s="19" t="s">
        <v>156</v>
      </c>
    </row>
    <row r="84" spans="1:7" hidden="1" x14ac:dyDescent="0.3">
      <c r="A84" s="47" t="s">
        <v>272</v>
      </c>
      <c r="B84" s="19" t="s">
        <v>163</v>
      </c>
      <c r="D84" s="49">
        <v>1500</v>
      </c>
      <c r="E84" s="19" t="s">
        <v>155</v>
      </c>
      <c r="F84" s="19" t="s">
        <v>155</v>
      </c>
      <c r="G84" s="19" t="s">
        <v>156</v>
      </c>
    </row>
    <row r="85" spans="1:7" hidden="1" x14ac:dyDescent="0.3">
      <c r="A85" s="47" t="s">
        <v>273</v>
      </c>
      <c r="B85" s="19" t="s">
        <v>255</v>
      </c>
      <c r="D85" s="49">
        <v>1500</v>
      </c>
      <c r="E85" s="19" t="s">
        <v>155</v>
      </c>
      <c r="F85" s="19" t="s">
        <v>155</v>
      </c>
      <c r="G85" s="19" t="s">
        <v>156</v>
      </c>
    </row>
    <row r="86" spans="1:7" hidden="1" x14ac:dyDescent="0.3">
      <c r="A86" s="47" t="s">
        <v>274</v>
      </c>
      <c r="B86" s="19" t="s">
        <v>191</v>
      </c>
      <c r="C86" s="19" t="s">
        <v>191</v>
      </c>
      <c r="D86" s="49">
        <v>2500</v>
      </c>
      <c r="E86" s="19" t="s">
        <v>155</v>
      </c>
      <c r="F86" s="19" t="s">
        <v>155</v>
      </c>
      <c r="G86" s="19" t="s">
        <v>156</v>
      </c>
    </row>
    <row r="87" spans="1:7" hidden="1" x14ac:dyDescent="0.3">
      <c r="A87" s="47" t="s">
        <v>275</v>
      </c>
      <c r="B87" s="19" t="s">
        <v>158</v>
      </c>
      <c r="D87" s="49">
        <v>2500</v>
      </c>
      <c r="E87" s="19" t="s">
        <v>155</v>
      </c>
      <c r="F87" s="19" t="s">
        <v>155</v>
      </c>
      <c r="G87" s="19" t="s">
        <v>156</v>
      </c>
    </row>
    <row r="88" spans="1:7" hidden="1" x14ac:dyDescent="0.3">
      <c r="A88" s="47" t="s">
        <v>276</v>
      </c>
      <c r="B88" s="19" t="s">
        <v>154</v>
      </c>
      <c r="D88" s="49">
        <v>5000</v>
      </c>
      <c r="E88" s="19" t="s">
        <v>155</v>
      </c>
      <c r="F88" s="19" t="s">
        <v>155</v>
      </c>
      <c r="G88" s="19" t="s">
        <v>156</v>
      </c>
    </row>
    <row r="89" spans="1:7" ht="28.8" hidden="1" x14ac:dyDescent="0.3">
      <c r="A89" s="47" t="s">
        <v>41</v>
      </c>
      <c r="B89" s="19" t="s">
        <v>153</v>
      </c>
      <c r="C89" s="19" t="s">
        <v>153</v>
      </c>
      <c r="D89" s="49">
        <v>2500</v>
      </c>
      <c r="E89" s="19" t="s">
        <v>198</v>
      </c>
      <c r="F89" s="19" t="s">
        <v>175</v>
      </c>
      <c r="G89" s="19" t="s">
        <v>147</v>
      </c>
    </row>
    <row r="90" spans="1:7" hidden="1" x14ac:dyDescent="0.3">
      <c r="A90" s="47" t="s">
        <v>277</v>
      </c>
      <c r="B90" s="19" t="s">
        <v>144</v>
      </c>
      <c r="C90" s="19" t="s">
        <v>278</v>
      </c>
      <c r="D90" s="49">
        <v>2000</v>
      </c>
      <c r="E90" s="19" t="s">
        <v>279</v>
      </c>
      <c r="F90" s="19" t="s">
        <v>175</v>
      </c>
      <c r="G90" s="19" t="s">
        <v>147</v>
      </c>
    </row>
    <row r="91" spans="1:7" hidden="1" x14ac:dyDescent="0.3">
      <c r="A91" s="47" t="s">
        <v>280</v>
      </c>
      <c r="B91" s="19" t="s">
        <v>144</v>
      </c>
      <c r="C91" s="19" t="s">
        <v>281</v>
      </c>
      <c r="D91" s="49">
        <v>2000</v>
      </c>
      <c r="E91" s="19" t="s">
        <v>282</v>
      </c>
      <c r="F91" s="19" t="s">
        <v>151</v>
      </c>
      <c r="G91" s="19" t="s">
        <v>147</v>
      </c>
    </row>
    <row r="92" spans="1:7" ht="28.8" hidden="1" x14ac:dyDescent="0.3">
      <c r="A92" s="47" t="s">
        <v>42</v>
      </c>
      <c r="B92" s="19" t="s">
        <v>160</v>
      </c>
      <c r="D92" s="49">
        <v>1700</v>
      </c>
      <c r="E92" s="19" t="s">
        <v>166</v>
      </c>
      <c r="F92" s="19" t="s">
        <v>166</v>
      </c>
      <c r="G92" s="19" t="s">
        <v>147</v>
      </c>
    </row>
    <row r="93" spans="1:7" hidden="1" x14ac:dyDescent="0.3">
      <c r="A93" s="47" t="s">
        <v>43</v>
      </c>
      <c r="B93" s="19" t="s">
        <v>207</v>
      </c>
      <c r="C93" s="19" t="s">
        <v>283</v>
      </c>
      <c r="D93" s="49">
        <v>2000</v>
      </c>
      <c r="E93" s="19" t="s">
        <v>242</v>
      </c>
      <c r="F93" s="19" t="s">
        <v>166</v>
      </c>
      <c r="G93" s="19" t="s">
        <v>147</v>
      </c>
    </row>
    <row r="94" spans="1:7" ht="28.8" hidden="1" x14ac:dyDescent="0.3">
      <c r="A94" s="47" t="s">
        <v>44</v>
      </c>
      <c r="B94" s="19" t="s">
        <v>183</v>
      </c>
      <c r="D94" s="49">
        <v>2500</v>
      </c>
      <c r="E94" s="19" t="s">
        <v>175</v>
      </c>
      <c r="F94" s="19" t="s">
        <v>175</v>
      </c>
      <c r="G94" s="19" t="s">
        <v>147</v>
      </c>
    </row>
    <row r="95" spans="1:7" hidden="1" x14ac:dyDescent="0.3">
      <c r="A95" s="47" t="s">
        <v>284</v>
      </c>
      <c r="B95" s="19" t="s">
        <v>207</v>
      </c>
      <c r="C95" s="19" t="s">
        <v>285</v>
      </c>
      <c r="D95" s="49">
        <v>5000</v>
      </c>
      <c r="E95" s="19" t="s">
        <v>286</v>
      </c>
      <c r="F95" s="19" t="s">
        <v>155</v>
      </c>
      <c r="G95" s="19" t="s">
        <v>156</v>
      </c>
    </row>
    <row r="96" spans="1:7" hidden="1" x14ac:dyDescent="0.3">
      <c r="A96" s="47" t="s">
        <v>45</v>
      </c>
      <c r="B96" s="19" t="s">
        <v>191</v>
      </c>
      <c r="C96" s="19" t="s">
        <v>287</v>
      </c>
      <c r="D96" s="49">
        <v>1500</v>
      </c>
      <c r="E96" s="19" t="s">
        <v>288</v>
      </c>
      <c r="F96" s="19" t="s">
        <v>146</v>
      </c>
      <c r="G96" s="19" t="s">
        <v>147</v>
      </c>
    </row>
    <row r="97" spans="1:7" hidden="1" x14ac:dyDescent="0.3">
      <c r="A97" s="47" t="s">
        <v>114</v>
      </c>
      <c r="B97" s="19" t="s">
        <v>207</v>
      </c>
      <c r="C97" s="19" t="s">
        <v>289</v>
      </c>
      <c r="D97" s="49">
        <v>2500</v>
      </c>
      <c r="E97" s="19" t="s">
        <v>229</v>
      </c>
      <c r="F97" s="19" t="s">
        <v>166</v>
      </c>
      <c r="G97" s="19" t="s">
        <v>147</v>
      </c>
    </row>
    <row r="98" spans="1:7" hidden="1" x14ac:dyDescent="0.3">
      <c r="A98" s="47" t="s">
        <v>46</v>
      </c>
      <c r="B98" s="19" t="s">
        <v>158</v>
      </c>
      <c r="D98" s="49">
        <v>2000</v>
      </c>
      <c r="E98" s="19" t="s">
        <v>146</v>
      </c>
      <c r="F98" s="19" t="s">
        <v>146</v>
      </c>
      <c r="G98" s="19" t="s">
        <v>147</v>
      </c>
    </row>
    <row r="99" spans="1:7" hidden="1" x14ac:dyDescent="0.3">
      <c r="A99" s="47" t="s">
        <v>290</v>
      </c>
      <c r="B99" s="19" t="s">
        <v>163</v>
      </c>
      <c r="D99" s="49">
        <v>1500</v>
      </c>
      <c r="E99" s="19" t="s">
        <v>291</v>
      </c>
      <c r="F99" s="19" t="s">
        <v>146</v>
      </c>
      <c r="G99" s="19" t="s">
        <v>147</v>
      </c>
    </row>
    <row r="100" spans="1:7" hidden="1" x14ac:dyDescent="0.3">
      <c r="A100" s="47" t="s">
        <v>292</v>
      </c>
      <c r="B100" s="19" t="s">
        <v>183</v>
      </c>
      <c r="D100" s="49">
        <v>2000</v>
      </c>
      <c r="E100" s="19" t="s">
        <v>237</v>
      </c>
      <c r="F100" s="19" t="s">
        <v>237</v>
      </c>
      <c r="G100" s="19" t="s">
        <v>156</v>
      </c>
    </row>
    <row r="101" spans="1:7" ht="28.8" hidden="1" x14ac:dyDescent="0.3">
      <c r="A101" s="47" t="s">
        <v>47</v>
      </c>
      <c r="B101" s="19" t="s">
        <v>170</v>
      </c>
      <c r="C101" s="19" t="s">
        <v>170</v>
      </c>
      <c r="D101" s="49">
        <v>2000</v>
      </c>
      <c r="E101" s="19" t="s">
        <v>201</v>
      </c>
      <c r="F101" s="19" t="s">
        <v>201</v>
      </c>
      <c r="G101" s="19" t="s">
        <v>147</v>
      </c>
    </row>
    <row r="102" spans="1:7" ht="43.2" hidden="1" x14ac:dyDescent="0.3">
      <c r="A102" s="47" t="s">
        <v>293</v>
      </c>
      <c r="B102" s="19" t="s">
        <v>258</v>
      </c>
      <c r="C102" s="19" t="s">
        <v>258</v>
      </c>
      <c r="D102" s="49">
        <v>1500</v>
      </c>
      <c r="E102" s="19" t="s">
        <v>155</v>
      </c>
      <c r="F102" s="19" t="s">
        <v>155</v>
      </c>
      <c r="G102" s="19" t="s">
        <v>156</v>
      </c>
    </row>
    <row r="103" spans="1:7" hidden="1" x14ac:dyDescent="0.3">
      <c r="A103" s="47" t="s">
        <v>294</v>
      </c>
      <c r="B103" s="19" t="s">
        <v>258</v>
      </c>
      <c r="D103" s="49">
        <v>2000</v>
      </c>
      <c r="E103" s="19" t="s">
        <v>146</v>
      </c>
      <c r="F103" s="19" t="s">
        <v>146</v>
      </c>
      <c r="G103" s="19" t="s">
        <v>147</v>
      </c>
    </row>
    <row r="104" spans="1:7" hidden="1" x14ac:dyDescent="0.3">
      <c r="A104" s="47" t="s">
        <v>295</v>
      </c>
      <c r="B104" s="19" t="s">
        <v>158</v>
      </c>
      <c r="D104" s="49">
        <v>2500</v>
      </c>
      <c r="E104" s="19" t="s">
        <v>175</v>
      </c>
      <c r="F104" s="19" t="s">
        <v>175</v>
      </c>
      <c r="G104" s="19" t="s">
        <v>147</v>
      </c>
    </row>
    <row r="105" spans="1:7" hidden="1" x14ac:dyDescent="0.3">
      <c r="A105" s="47" t="s">
        <v>296</v>
      </c>
      <c r="B105" s="19" t="s">
        <v>297</v>
      </c>
      <c r="D105" s="49">
        <v>1500</v>
      </c>
      <c r="E105" s="19" t="s">
        <v>298</v>
      </c>
      <c r="F105" s="19" t="s">
        <v>298</v>
      </c>
      <c r="G105" s="19" t="s">
        <v>156</v>
      </c>
    </row>
    <row r="106" spans="1:7" hidden="1" x14ac:dyDescent="0.3">
      <c r="A106" s="47" t="s">
        <v>299</v>
      </c>
      <c r="B106" s="19" t="s">
        <v>154</v>
      </c>
      <c r="D106" s="49">
        <v>5000</v>
      </c>
      <c r="E106" s="19" t="s">
        <v>237</v>
      </c>
      <c r="F106" s="19" t="s">
        <v>237</v>
      </c>
      <c r="G106" s="19" t="s">
        <v>156</v>
      </c>
    </row>
    <row r="107" spans="1:7" hidden="1" x14ac:dyDescent="0.3">
      <c r="A107" s="47" t="s">
        <v>300</v>
      </c>
      <c r="B107" s="19" t="s">
        <v>207</v>
      </c>
      <c r="D107" s="49">
        <v>3500</v>
      </c>
      <c r="E107" s="19" t="s">
        <v>155</v>
      </c>
      <c r="F107" s="19" t="s">
        <v>155</v>
      </c>
      <c r="G107" s="19" t="s">
        <v>156</v>
      </c>
    </row>
    <row r="108" spans="1:7" hidden="1" x14ac:dyDescent="0.3">
      <c r="A108" s="47" t="s">
        <v>129</v>
      </c>
      <c r="B108" s="19" t="s">
        <v>163</v>
      </c>
      <c r="D108" s="49">
        <v>2500</v>
      </c>
      <c r="E108" s="19" t="s">
        <v>155</v>
      </c>
      <c r="F108" s="19" t="s">
        <v>155</v>
      </c>
      <c r="G108" s="19" t="s">
        <v>156</v>
      </c>
    </row>
    <row r="109" spans="1:7" hidden="1" x14ac:dyDescent="0.3">
      <c r="A109" s="47" t="s">
        <v>73</v>
      </c>
      <c r="B109" s="19" t="s">
        <v>191</v>
      </c>
      <c r="C109" s="19" t="s">
        <v>301</v>
      </c>
      <c r="D109" s="49">
        <v>2500</v>
      </c>
      <c r="E109" s="19" t="s">
        <v>302</v>
      </c>
      <c r="F109" s="19" t="s">
        <v>302</v>
      </c>
      <c r="G109" s="19" t="s">
        <v>147</v>
      </c>
    </row>
    <row r="110" spans="1:7" ht="28.8" hidden="1" x14ac:dyDescent="0.3">
      <c r="A110" s="47" t="s">
        <v>303</v>
      </c>
      <c r="B110" s="19" t="s">
        <v>207</v>
      </c>
      <c r="D110" s="49">
        <v>1500</v>
      </c>
      <c r="E110" s="19" t="s">
        <v>304</v>
      </c>
      <c r="F110" s="19" t="s">
        <v>305</v>
      </c>
      <c r="G110" s="19" t="s">
        <v>147</v>
      </c>
    </row>
    <row r="111" spans="1:7" hidden="1" x14ac:dyDescent="0.3">
      <c r="A111" s="47" t="s">
        <v>48</v>
      </c>
      <c r="B111" s="19" t="s">
        <v>149</v>
      </c>
      <c r="D111" s="49">
        <v>2500</v>
      </c>
      <c r="E111" s="19" t="s">
        <v>155</v>
      </c>
      <c r="F111" s="19" t="s">
        <v>237</v>
      </c>
      <c r="G111" s="19" t="s">
        <v>156</v>
      </c>
    </row>
    <row r="112" spans="1:7" ht="28.8" hidden="1" x14ac:dyDescent="0.3">
      <c r="A112" s="47" t="s">
        <v>306</v>
      </c>
      <c r="B112" s="19" t="s">
        <v>158</v>
      </c>
      <c r="C112" s="19" t="s">
        <v>158</v>
      </c>
      <c r="D112" s="49">
        <v>1500</v>
      </c>
      <c r="E112" s="19" t="s">
        <v>146</v>
      </c>
      <c r="F112" s="19" t="s">
        <v>146</v>
      </c>
      <c r="G112" s="19" t="s">
        <v>147</v>
      </c>
    </row>
    <row r="113" spans="1:7" hidden="1" x14ac:dyDescent="0.3">
      <c r="A113" s="47" t="s">
        <v>307</v>
      </c>
      <c r="B113" s="19" t="s">
        <v>153</v>
      </c>
      <c r="D113" s="49">
        <v>3500</v>
      </c>
      <c r="E113" s="19" t="s">
        <v>155</v>
      </c>
      <c r="F113" s="19" t="s">
        <v>155</v>
      </c>
      <c r="G113" s="19" t="s">
        <v>156</v>
      </c>
    </row>
    <row r="114" spans="1:7" hidden="1" x14ac:dyDescent="0.3">
      <c r="A114" s="47" t="s">
        <v>308</v>
      </c>
      <c r="B114" s="19" t="s">
        <v>158</v>
      </c>
      <c r="D114" s="49">
        <v>2000</v>
      </c>
      <c r="E114" s="19" t="s">
        <v>146</v>
      </c>
      <c r="F114" s="19" t="s">
        <v>146</v>
      </c>
      <c r="G114" s="19" t="s">
        <v>147</v>
      </c>
    </row>
    <row r="115" spans="1:7" hidden="1" x14ac:dyDescent="0.3">
      <c r="A115" s="47" t="s">
        <v>309</v>
      </c>
      <c r="B115" s="19" t="s">
        <v>144</v>
      </c>
      <c r="D115" s="49">
        <v>2500</v>
      </c>
      <c r="E115" s="19" t="s">
        <v>175</v>
      </c>
      <c r="F115" s="19" t="s">
        <v>175</v>
      </c>
      <c r="G115" s="19" t="s">
        <v>147</v>
      </c>
    </row>
    <row r="116" spans="1:7" hidden="1" x14ac:dyDescent="0.3">
      <c r="A116" s="47" t="s">
        <v>310</v>
      </c>
      <c r="B116" s="19" t="s">
        <v>170</v>
      </c>
      <c r="D116" s="49">
        <v>2500</v>
      </c>
      <c r="E116" s="19" t="s">
        <v>175</v>
      </c>
      <c r="F116" s="19" t="s">
        <v>175</v>
      </c>
      <c r="G116" s="19" t="s">
        <v>147</v>
      </c>
    </row>
    <row r="117" spans="1:7" hidden="1" x14ac:dyDescent="0.3">
      <c r="A117" s="47" t="s">
        <v>128</v>
      </c>
      <c r="B117" s="19" t="s">
        <v>170</v>
      </c>
      <c r="D117" s="49">
        <v>1500</v>
      </c>
      <c r="E117" s="19" t="s">
        <v>201</v>
      </c>
      <c r="F117" s="19" t="s">
        <v>201</v>
      </c>
      <c r="G117" s="19" t="s">
        <v>147</v>
      </c>
    </row>
    <row r="118" spans="1:7" hidden="1" x14ac:dyDescent="0.3">
      <c r="A118" s="47" t="s">
        <v>49</v>
      </c>
      <c r="B118" s="19" t="s">
        <v>149</v>
      </c>
      <c r="C118" s="19" t="s">
        <v>311</v>
      </c>
      <c r="D118" s="49">
        <v>1500</v>
      </c>
      <c r="E118" s="19" t="s">
        <v>237</v>
      </c>
      <c r="F118" s="19" t="s">
        <v>237</v>
      </c>
      <c r="G118" s="19" t="s">
        <v>156</v>
      </c>
    </row>
    <row r="119" spans="1:7" hidden="1" x14ac:dyDescent="0.3">
      <c r="A119" s="47" t="s">
        <v>312</v>
      </c>
      <c r="B119" s="19" t="s">
        <v>255</v>
      </c>
      <c r="C119" s="19" t="s">
        <v>313</v>
      </c>
      <c r="E119" s="19" t="s">
        <v>237</v>
      </c>
      <c r="F119" s="19" t="s">
        <v>237</v>
      </c>
      <c r="G119" s="19" t="s">
        <v>156</v>
      </c>
    </row>
    <row r="120" spans="1:7" ht="28.8" hidden="1" x14ac:dyDescent="0.3">
      <c r="A120" s="47" t="s">
        <v>50</v>
      </c>
      <c r="B120" s="19" t="s">
        <v>158</v>
      </c>
      <c r="C120" s="19" t="s">
        <v>314</v>
      </c>
      <c r="D120" s="49">
        <v>1500</v>
      </c>
      <c r="E120" s="19" t="s">
        <v>237</v>
      </c>
      <c r="F120" s="19" t="s">
        <v>237</v>
      </c>
      <c r="G120" s="19" t="s">
        <v>156</v>
      </c>
    </row>
    <row r="121" spans="1:7" hidden="1" x14ac:dyDescent="0.3">
      <c r="A121" s="47" t="s">
        <v>315</v>
      </c>
      <c r="B121" s="19" t="s">
        <v>144</v>
      </c>
      <c r="C121" s="19" t="s">
        <v>316</v>
      </c>
      <c r="D121" s="49">
        <v>2000</v>
      </c>
      <c r="E121" s="19" t="s">
        <v>317</v>
      </c>
      <c r="F121" s="19" t="s">
        <v>175</v>
      </c>
      <c r="G121" s="19" t="s">
        <v>147</v>
      </c>
    </row>
    <row r="122" spans="1:7" hidden="1" x14ac:dyDescent="0.3">
      <c r="A122" s="47" t="s">
        <v>51</v>
      </c>
      <c r="B122" s="19" t="s">
        <v>144</v>
      </c>
      <c r="C122" s="19" t="s">
        <v>144</v>
      </c>
      <c r="D122" s="49">
        <v>2000</v>
      </c>
      <c r="E122" s="19" t="s">
        <v>146</v>
      </c>
      <c r="F122" s="19" t="s">
        <v>146</v>
      </c>
      <c r="G122" s="19" t="s">
        <v>147</v>
      </c>
    </row>
    <row r="123" spans="1:7" hidden="1" x14ac:dyDescent="0.3">
      <c r="A123" s="47" t="s">
        <v>318</v>
      </c>
      <c r="B123" s="19" t="s">
        <v>163</v>
      </c>
      <c r="D123" s="49">
        <v>1500</v>
      </c>
      <c r="E123" s="19" t="s">
        <v>155</v>
      </c>
      <c r="F123" s="19" t="s">
        <v>237</v>
      </c>
      <c r="G123" s="19" t="s">
        <v>156</v>
      </c>
    </row>
    <row r="124" spans="1:7" hidden="1" x14ac:dyDescent="0.3">
      <c r="A124" s="47" t="s">
        <v>319</v>
      </c>
      <c r="B124" s="19" t="s">
        <v>320</v>
      </c>
      <c r="D124" s="49">
        <v>2500</v>
      </c>
      <c r="E124" s="19" t="s">
        <v>15</v>
      </c>
      <c r="F124" s="19" t="s">
        <v>15</v>
      </c>
      <c r="G124" s="19" t="s">
        <v>147</v>
      </c>
    </row>
    <row r="125" spans="1:7" hidden="1" x14ac:dyDescent="0.3">
      <c r="A125" s="47" t="s">
        <v>52</v>
      </c>
      <c r="B125" s="19" t="s">
        <v>255</v>
      </c>
      <c r="D125" s="49">
        <v>2500</v>
      </c>
      <c r="E125" s="19" t="s">
        <v>225</v>
      </c>
      <c r="F125" s="19" t="s">
        <v>291</v>
      </c>
      <c r="G125" s="19" t="s">
        <v>147</v>
      </c>
    </row>
    <row r="126" spans="1:7" hidden="1" x14ac:dyDescent="0.3">
      <c r="A126" s="47" t="s">
        <v>321</v>
      </c>
      <c r="B126" s="19" t="s">
        <v>207</v>
      </c>
      <c r="C126" s="19" t="s">
        <v>207</v>
      </c>
      <c r="D126" s="49">
        <v>2500</v>
      </c>
      <c r="E126" s="19" t="s">
        <v>237</v>
      </c>
      <c r="F126" s="19" t="s">
        <v>237</v>
      </c>
      <c r="G126" s="19" t="s">
        <v>156</v>
      </c>
    </row>
    <row r="127" spans="1:7" ht="28.8" hidden="1" x14ac:dyDescent="0.3">
      <c r="A127" s="47" t="s">
        <v>53</v>
      </c>
      <c r="B127" s="19" t="s">
        <v>207</v>
      </c>
      <c r="C127" s="19" t="s">
        <v>54</v>
      </c>
      <c r="D127" s="49">
        <v>2000</v>
      </c>
      <c r="E127" s="19" t="s">
        <v>322</v>
      </c>
      <c r="F127" s="19" t="s">
        <v>146</v>
      </c>
      <c r="G127" s="19" t="s">
        <v>147</v>
      </c>
    </row>
    <row r="128" spans="1:7" hidden="1" x14ac:dyDescent="0.3">
      <c r="A128" s="47" t="s">
        <v>323</v>
      </c>
      <c r="B128" s="19" t="s">
        <v>144</v>
      </c>
      <c r="D128" s="49">
        <v>2500</v>
      </c>
      <c r="E128" s="19" t="s">
        <v>225</v>
      </c>
      <c r="F128" s="19" t="s">
        <v>291</v>
      </c>
      <c r="G128" s="19" t="s">
        <v>147</v>
      </c>
    </row>
    <row r="129" spans="1:7" hidden="1" x14ac:dyDescent="0.3">
      <c r="A129" s="47" t="s">
        <v>324</v>
      </c>
      <c r="B129" s="19" t="s">
        <v>207</v>
      </c>
      <c r="C129" s="19" t="s">
        <v>325</v>
      </c>
      <c r="D129" s="49">
        <v>2000</v>
      </c>
      <c r="E129" s="19" t="s">
        <v>326</v>
      </c>
      <c r="F129" s="19" t="s">
        <v>327</v>
      </c>
      <c r="G129" s="19" t="s">
        <v>147</v>
      </c>
    </row>
    <row r="130" spans="1:7" ht="28.8" hidden="1" x14ac:dyDescent="0.3">
      <c r="A130" s="47" t="s">
        <v>55</v>
      </c>
      <c r="B130" s="19" t="s">
        <v>163</v>
      </c>
      <c r="D130" s="49">
        <v>2500</v>
      </c>
      <c r="E130" s="19" t="s">
        <v>155</v>
      </c>
      <c r="F130" s="19" t="s">
        <v>155</v>
      </c>
      <c r="G130" s="19" t="s">
        <v>156</v>
      </c>
    </row>
    <row r="131" spans="1:7" ht="28.8" hidden="1" x14ac:dyDescent="0.3">
      <c r="A131" s="47" t="s">
        <v>56</v>
      </c>
      <c r="B131" s="19" t="s">
        <v>328</v>
      </c>
      <c r="D131" s="49">
        <v>1500</v>
      </c>
      <c r="E131" s="19" t="s">
        <v>155</v>
      </c>
      <c r="F131" s="19" t="s">
        <v>155</v>
      </c>
      <c r="G131" s="19" t="s">
        <v>156</v>
      </c>
    </row>
    <row r="132" spans="1:7" hidden="1" x14ac:dyDescent="0.3">
      <c r="A132" s="47" t="s">
        <v>329</v>
      </c>
      <c r="B132" s="19" t="s">
        <v>191</v>
      </c>
      <c r="C132" s="19" t="s">
        <v>191</v>
      </c>
      <c r="D132" s="49">
        <v>2500</v>
      </c>
      <c r="E132" s="19" t="s">
        <v>155</v>
      </c>
      <c r="F132" s="19" t="s">
        <v>155</v>
      </c>
      <c r="G132" s="19" t="s">
        <v>156</v>
      </c>
    </row>
    <row r="133" spans="1:7" hidden="1" x14ac:dyDescent="0.3">
      <c r="A133" s="47" t="s">
        <v>330</v>
      </c>
      <c r="B133" s="19" t="s">
        <v>191</v>
      </c>
      <c r="D133" s="49">
        <v>2500</v>
      </c>
      <c r="E133" s="19" t="s">
        <v>155</v>
      </c>
      <c r="F133" s="19" t="s">
        <v>155</v>
      </c>
      <c r="G133" s="19" t="s">
        <v>156</v>
      </c>
    </row>
    <row r="134" spans="1:7" hidden="1" x14ac:dyDescent="0.3">
      <c r="A134" s="47" t="s">
        <v>331</v>
      </c>
      <c r="B134" s="19" t="s">
        <v>255</v>
      </c>
      <c r="C134" s="19" t="s">
        <v>255</v>
      </c>
      <c r="D134" s="49">
        <v>1500</v>
      </c>
      <c r="E134" s="19" t="s">
        <v>155</v>
      </c>
      <c r="F134" s="19" t="s">
        <v>155</v>
      </c>
      <c r="G134" s="19" t="s">
        <v>156</v>
      </c>
    </row>
    <row r="135" spans="1:7" hidden="1" x14ac:dyDescent="0.3">
      <c r="A135" s="47" t="s">
        <v>74</v>
      </c>
      <c r="B135" s="19" t="s">
        <v>191</v>
      </c>
      <c r="C135" s="19" t="s">
        <v>57</v>
      </c>
      <c r="D135" s="49">
        <v>1500</v>
      </c>
      <c r="E135" s="19" t="s">
        <v>155</v>
      </c>
      <c r="F135" s="19" t="s">
        <v>155</v>
      </c>
      <c r="G135" s="19" t="s">
        <v>156</v>
      </c>
    </row>
    <row r="136" spans="1:7" hidden="1" x14ac:dyDescent="0.3">
      <c r="A136" s="47" t="s">
        <v>332</v>
      </c>
      <c r="B136" s="19" t="s">
        <v>333</v>
      </c>
      <c r="D136" s="49">
        <v>2500</v>
      </c>
      <c r="E136" s="19" t="s">
        <v>155</v>
      </c>
      <c r="F136" s="19" t="s">
        <v>155</v>
      </c>
      <c r="G136" s="19" t="s">
        <v>156</v>
      </c>
    </row>
    <row r="137" spans="1:7" hidden="1" x14ac:dyDescent="0.3">
      <c r="A137" s="47" t="s">
        <v>334</v>
      </c>
      <c r="B137" s="19" t="s">
        <v>170</v>
      </c>
      <c r="D137" s="49">
        <v>2500</v>
      </c>
      <c r="E137" s="19" t="s">
        <v>225</v>
      </c>
      <c r="F137" s="19" t="s">
        <v>335</v>
      </c>
      <c r="G137" s="19" t="s">
        <v>147</v>
      </c>
    </row>
    <row r="138" spans="1:7" hidden="1" x14ac:dyDescent="0.3">
      <c r="A138" s="47" t="s">
        <v>58</v>
      </c>
      <c r="B138" s="19" t="s">
        <v>255</v>
      </c>
      <c r="C138" s="19" t="s">
        <v>255</v>
      </c>
      <c r="D138" s="49">
        <v>2500</v>
      </c>
      <c r="E138" s="19" t="s">
        <v>155</v>
      </c>
      <c r="F138" s="19" t="s">
        <v>155</v>
      </c>
      <c r="G138" s="19" t="s">
        <v>156</v>
      </c>
    </row>
    <row r="139" spans="1:7" hidden="1" x14ac:dyDescent="0.3">
      <c r="A139" s="47" t="s">
        <v>336</v>
      </c>
      <c r="B139" s="19" t="s">
        <v>144</v>
      </c>
      <c r="C139" s="19" t="s">
        <v>144</v>
      </c>
      <c r="D139" s="49">
        <v>2500</v>
      </c>
      <c r="E139" s="19" t="s">
        <v>337</v>
      </c>
      <c r="F139" s="19" t="s">
        <v>155</v>
      </c>
      <c r="G139" s="19" t="s">
        <v>156</v>
      </c>
    </row>
    <row r="140" spans="1:7" hidden="1" x14ac:dyDescent="0.3">
      <c r="A140" s="47" t="s">
        <v>59</v>
      </c>
      <c r="B140" s="19" t="s">
        <v>170</v>
      </c>
      <c r="D140" s="49">
        <v>1500</v>
      </c>
      <c r="E140" s="19" t="s">
        <v>146</v>
      </c>
      <c r="F140" s="19" t="s">
        <v>146</v>
      </c>
      <c r="G140" s="19" t="s">
        <v>147</v>
      </c>
    </row>
    <row r="141" spans="1:7" hidden="1" x14ac:dyDescent="0.3">
      <c r="A141" s="47" t="s">
        <v>338</v>
      </c>
      <c r="B141" s="19" t="s">
        <v>154</v>
      </c>
      <c r="D141" s="49">
        <v>5000</v>
      </c>
      <c r="E141" s="19" t="s">
        <v>175</v>
      </c>
      <c r="F141" s="19" t="s">
        <v>175</v>
      </c>
      <c r="G141" s="19" t="s">
        <v>147</v>
      </c>
    </row>
    <row r="142" spans="1:7" hidden="1" x14ac:dyDescent="0.3">
      <c r="A142" s="47" t="s">
        <v>339</v>
      </c>
      <c r="B142" s="19" t="s">
        <v>160</v>
      </c>
      <c r="D142" s="49">
        <v>1500</v>
      </c>
      <c r="E142" s="19" t="s">
        <v>155</v>
      </c>
      <c r="F142" s="19" t="s">
        <v>155</v>
      </c>
      <c r="G142" s="19" t="s">
        <v>156</v>
      </c>
    </row>
    <row r="143" spans="1:7" hidden="1" x14ac:dyDescent="0.3">
      <c r="A143" s="47" t="s">
        <v>340</v>
      </c>
      <c r="B143" s="19" t="s">
        <v>170</v>
      </c>
      <c r="D143" s="49">
        <v>2500</v>
      </c>
      <c r="E143" s="19" t="s">
        <v>155</v>
      </c>
      <c r="F143" s="19" t="s">
        <v>155</v>
      </c>
      <c r="G143" s="19" t="s">
        <v>156</v>
      </c>
    </row>
    <row r="144" spans="1:7" ht="28.8" hidden="1" x14ac:dyDescent="0.3">
      <c r="A144" s="47" t="s">
        <v>341</v>
      </c>
      <c r="B144" s="19" t="s">
        <v>183</v>
      </c>
      <c r="C144" s="19" t="s">
        <v>342</v>
      </c>
      <c r="D144" s="49">
        <v>2000</v>
      </c>
      <c r="E144" s="19" t="s">
        <v>175</v>
      </c>
      <c r="F144" s="19" t="s">
        <v>175</v>
      </c>
      <c r="G144" s="19" t="s">
        <v>147</v>
      </c>
    </row>
    <row r="145" spans="1:7" hidden="1" x14ac:dyDescent="0.3">
      <c r="A145" s="47" t="s">
        <v>343</v>
      </c>
      <c r="B145" s="19" t="s">
        <v>154</v>
      </c>
      <c r="D145" s="49">
        <v>5000</v>
      </c>
      <c r="E145" s="19" t="s">
        <v>155</v>
      </c>
      <c r="F145" s="19" t="s">
        <v>155</v>
      </c>
      <c r="G145" s="19" t="s">
        <v>156</v>
      </c>
    </row>
    <row r="146" spans="1:7" ht="28.8" hidden="1" x14ac:dyDescent="0.3">
      <c r="A146" s="47" t="s">
        <v>344</v>
      </c>
      <c r="B146" s="19" t="s">
        <v>255</v>
      </c>
      <c r="C146" s="19" t="s">
        <v>345</v>
      </c>
      <c r="D146" s="49">
        <v>2000</v>
      </c>
      <c r="E146" s="19" t="s">
        <v>146</v>
      </c>
      <c r="F146" s="19" t="s">
        <v>146</v>
      </c>
      <c r="G146" s="19" t="s">
        <v>147</v>
      </c>
    </row>
    <row r="147" spans="1:7" hidden="1" x14ac:dyDescent="0.3">
      <c r="A147" s="47" t="s">
        <v>117</v>
      </c>
      <c r="B147" s="19" t="s">
        <v>144</v>
      </c>
      <c r="D147" s="49">
        <v>2000</v>
      </c>
      <c r="E147" s="19" t="s">
        <v>175</v>
      </c>
      <c r="F147" s="19" t="s">
        <v>175</v>
      </c>
      <c r="G147" s="19" t="s">
        <v>147</v>
      </c>
    </row>
    <row r="148" spans="1:7" hidden="1" x14ac:dyDescent="0.3">
      <c r="A148" s="47" t="s">
        <v>346</v>
      </c>
      <c r="B148" s="19" t="s">
        <v>149</v>
      </c>
      <c r="D148" s="49">
        <v>1500</v>
      </c>
      <c r="E148" s="19" t="s">
        <v>227</v>
      </c>
      <c r="F148" s="19" t="s">
        <v>173</v>
      </c>
      <c r="G148" s="19" t="s">
        <v>147</v>
      </c>
    </row>
    <row r="149" spans="1:7" hidden="1" x14ac:dyDescent="0.3">
      <c r="A149" s="47" t="s">
        <v>347</v>
      </c>
      <c r="B149" s="19" t="s">
        <v>191</v>
      </c>
      <c r="D149" s="49">
        <v>2700</v>
      </c>
      <c r="E149" s="19" t="s">
        <v>155</v>
      </c>
      <c r="F149" s="19" t="s">
        <v>155</v>
      </c>
      <c r="G149" s="19" t="s">
        <v>156</v>
      </c>
    </row>
    <row r="150" spans="1:7" hidden="1" x14ac:dyDescent="0.3">
      <c r="A150" s="47" t="s">
        <v>348</v>
      </c>
      <c r="B150" s="19" t="s">
        <v>154</v>
      </c>
      <c r="D150" s="49">
        <v>5000</v>
      </c>
      <c r="E150" s="19" t="s">
        <v>237</v>
      </c>
      <c r="F150" s="19" t="s">
        <v>237</v>
      </c>
      <c r="G150" s="19" t="s">
        <v>156</v>
      </c>
    </row>
    <row r="151" spans="1:7" ht="28.8" hidden="1" x14ac:dyDescent="0.3">
      <c r="A151" s="47" t="s">
        <v>349</v>
      </c>
      <c r="B151" s="19" t="s">
        <v>144</v>
      </c>
      <c r="D151" s="49">
        <v>2000</v>
      </c>
      <c r="E151" s="19" t="s">
        <v>291</v>
      </c>
      <c r="F151" s="19" t="s">
        <v>198</v>
      </c>
      <c r="G151" s="19" t="s">
        <v>147</v>
      </c>
    </row>
    <row r="152" spans="1:7" hidden="1" x14ac:dyDescent="0.3">
      <c r="A152" s="47" t="s">
        <v>350</v>
      </c>
      <c r="B152" s="19" t="s">
        <v>154</v>
      </c>
      <c r="D152" s="49">
        <v>5000</v>
      </c>
      <c r="E152" s="19" t="s">
        <v>237</v>
      </c>
      <c r="F152" s="19" t="s">
        <v>237</v>
      </c>
      <c r="G152" s="19" t="s">
        <v>156</v>
      </c>
    </row>
    <row r="153" spans="1:7" hidden="1" x14ac:dyDescent="0.3">
      <c r="A153" s="47" t="s">
        <v>60</v>
      </c>
      <c r="B153" s="19" t="s">
        <v>149</v>
      </c>
      <c r="C153" s="19" t="s">
        <v>351</v>
      </c>
      <c r="D153" s="49">
        <v>2500</v>
      </c>
      <c r="E153" s="19" t="s">
        <v>135</v>
      </c>
      <c r="F153" s="19" t="s">
        <v>61</v>
      </c>
      <c r="G153" s="19" t="s">
        <v>147</v>
      </c>
    </row>
    <row r="154" spans="1:7" hidden="1" x14ac:dyDescent="0.3">
      <c r="A154" s="47" t="s">
        <v>352</v>
      </c>
      <c r="B154" s="19" t="s">
        <v>353</v>
      </c>
      <c r="C154" s="19" t="s">
        <v>354</v>
      </c>
      <c r="D154" s="49">
        <v>2000</v>
      </c>
      <c r="E154" s="19" t="s">
        <v>355</v>
      </c>
      <c r="F154" s="19" t="s">
        <v>175</v>
      </c>
      <c r="G154" s="19" t="s">
        <v>147</v>
      </c>
    </row>
    <row r="155" spans="1:7" hidden="1" x14ac:dyDescent="0.3">
      <c r="A155" s="47" t="s">
        <v>62</v>
      </c>
      <c r="B155" s="19" t="s">
        <v>144</v>
      </c>
      <c r="D155" s="49">
        <v>2000</v>
      </c>
      <c r="E155" s="19" t="s">
        <v>146</v>
      </c>
      <c r="F155" s="19" t="s">
        <v>146</v>
      </c>
      <c r="G155" s="19" t="s">
        <v>147</v>
      </c>
    </row>
    <row r="156" spans="1:7" hidden="1" x14ac:dyDescent="0.3">
      <c r="A156" s="47" t="s">
        <v>63</v>
      </c>
      <c r="B156" s="19" t="s">
        <v>163</v>
      </c>
      <c r="E156" s="19" t="s">
        <v>356</v>
      </c>
      <c r="F156" s="19" t="s">
        <v>173</v>
      </c>
      <c r="G156" s="19" t="s">
        <v>147</v>
      </c>
    </row>
    <row r="157" spans="1:7" hidden="1" x14ac:dyDescent="0.3">
      <c r="A157" s="47" t="s">
        <v>64</v>
      </c>
      <c r="B157" s="19" t="s">
        <v>210</v>
      </c>
      <c r="C157" s="19" t="s">
        <v>357</v>
      </c>
      <c r="D157" s="49">
        <v>2500</v>
      </c>
      <c r="E157" s="19" t="s">
        <v>15</v>
      </c>
      <c r="F157" s="19" t="s">
        <v>15</v>
      </c>
      <c r="G157" s="19" t="s">
        <v>147</v>
      </c>
    </row>
    <row r="158" spans="1:7" hidden="1" x14ac:dyDescent="0.3">
      <c r="A158" s="47" t="s">
        <v>358</v>
      </c>
      <c r="B158" s="19" t="s">
        <v>158</v>
      </c>
      <c r="D158" s="49">
        <v>2000</v>
      </c>
      <c r="E158" s="19" t="s">
        <v>166</v>
      </c>
      <c r="F158" s="19" t="s">
        <v>166</v>
      </c>
      <c r="G158" s="19" t="s">
        <v>147</v>
      </c>
    </row>
    <row r="159" spans="1:7" hidden="1" x14ac:dyDescent="0.3">
      <c r="A159" s="47" t="s">
        <v>359</v>
      </c>
      <c r="B159" s="19" t="s">
        <v>170</v>
      </c>
      <c r="D159" s="49">
        <v>2000</v>
      </c>
      <c r="E159" s="19" t="s">
        <v>146</v>
      </c>
      <c r="F159" s="19" t="s">
        <v>146</v>
      </c>
      <c r="G159" s="19" t="s">
        <v>147</v>
      </c>
    </row>
    <row r="160" spans="1:7" hidden="1" x14ac:dyDescent="0.3">
      <c r="A160" s="47" t="s">
        <v>360</v>
      </c>
      <c r="B160" s="19" t="s">
        <v>361</v>
      </c>
      <c r="C160" s="19" t="s">
        <v>362</v>
      </c>
      <c r="D160" s="49">
        <v>5000</v>
      </c>
      <c r="E160" s="19" t="s">
        <v>175</v>
      </c>
      <c r="F160" s="19" t="s">
        <v>175</v>
      </c>
      <c r="G160" s="19" t="s">
        <v>147</v>
      </c>
    </row>
    <row r="161" spans="1:7" hidden="1" x14ac:dyDescent="0.3">
      <c r="A161" s="47" t="s">
        <v>363</v>
      </c>
      <c r="B161" s="19" t="s">
        <v>154</v>
      </c>
      <c r="D161" s="49">
        <v>5000</v>
      </c>
      <c r="E161" s="19" t="s">
        <v>155</v>
      </c>
      <c r="F161" s="19" t="s">
        <v>155</v>
      </c>
      <c r="G161" s="19" t="s">
        <v>156</v>
      </c>
    </row>
  </sheetData>
  <autoFilter ref="A1:W161" xr:uid="{0F129865-BAC1-43A6-8467-41F7E7B3E707}">
    <filterColumn colId="0">
      <filters>
        <filter val="AVLA PERU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AFE-F3D4-418F-81E2-4878E697C4EF}">
  <dimension ref="A1:I36"/>
  <sheetViews>
    <sheetView tabSelected="1" topLeftCell="A7" zoomScale="90" zoomScaleNormal="90" workbookViewId="0">
      <selection activeCell="A18" sqref="A18"/>
    </sheetView>
  </sheetViews>
  <sheetFormatPr baseColWidth="10" defaultColWidth="11.44140625" defaultRowHeight="14.4" x14ac:dyDescent="0.3"/>
  <cols>
    <col min="1" max="2" width="38.109375" customWidth="1"/>
    <col min="3" max="5" width="21.6640625" customWidth="1"/>
    <col min="9" max="9" width="13.88671875" bestFit="1" customWidth="1"/>
  </cols>
  <sheetData>
    <row r="1" spans="1:9" x14ac:dyDescent="0.3">
      <c r="A1" s="25" t="s">
        <v>65</v>
      </c>
      <c r="B1" s="26" t="s">
        <v>66</v>
      </c>
      <c r="C1" s="26" t="s">
        <v>67</v>
      </c>
      <c r="D1" s="28" t="s">
        <v>68</v>
      </c>
      <c r="E1" s="27" t="s">
        <v>69</v>
      </c>
    </row>
    <row r="2" spans="1:9" x14ac:dyDescent="0.3">
      <c r="A2" s="59" t="s">
        <v>14</v>
      </c>
      <c r="B2" s="57" t="s">
        <v>146</v>
      </c>
      <c r="C2" s="60" t="s">
        <v>147</v>
      </c>
      <c r="D2" s="39"/>
      <c r="E2" s="40"/>
      <c r="G2" t="s">
        <v>71</v>
      </c>
      <c r="H2">
        <v>13</v>
      </c>
      <c r="I2" s="44">
        <v>26700</v>
      </c>
    </row>
    <row r="3" spans="1:9" x14ac:dyDescent="0.3">
      <c r="A3" s="59" t="s">
        <v>190</v>
      </c>
      <c r="B3" s="57" t="s">
        <v>155</v>
      </c>
      <c r="C3" s="60" t="s">
        <v>156</v>
      </c>
      <c r="D3" s="42">
        <v>2000</v>
      </c>
      <c r="E3" s="40">
        <v>45746</v>
      </c>
      <c r="G3" t="s">
        <v>72</v>
      </c>
      <c r="H3">
        <v>21</v>
      </c>
      <c r="I3" s="44">
        <v>41700</v>
      </c>
    </row>
    <row r="4" spans="1:9" x14ac:dyDescent="0.3">
      <c r="A4" s="59" t="s">
        <v>20</v>
      </c>
      <c r="B4" s="57" t="s">
        <v>155</v>
      </c>
      <c r="C4" s="60" t="s">
        <v>156</v>
      </c>
      <c r="D4" s="39"/>
      <c r="E4" s="40"/>
      <c r="H4" s="46">
        <f>SUM(H2:H3)</f>
        <v>34</v>
      </c>
      <c r="I4" s="45">
        <f>SUM(I2:I3)</f>
        <v>68400</v>
      </c>
    </row>
    <row r="5" spans="1:9" x14ac:dyDescent="0.3">
      <c r="A5" s="59" t="s">
        <v>193</v>
      </c>
      <c r="B5" s="57" t="s">
        <v>151</v>
      </c>
      <c r="C5" s="60" t="s">
        <v>147</v>
      </c>
      <c r="D5" s="42"/>
      <c r="E5" s="41"/>
    </row>
    <row r="6" spans="1:9" x14ac:dyDescent="0.3">
      <c r="A6" s="59" t="s">
        <v>75</v>
      </c>
      <c r="B6" s="57" t="s">
        <v>155</v>
      </c>
      <c r="C6" s="60" t="s">
        <v>156</v>
      </c>
      <c r="D6" s="39">
        <v>2500</v>
      </c>
      <c r="E6" s="40">
        <v>45703</v>
      </c>
    </row>
    <row r="7" spans="1:9" x14ac:dyDescent="0.3">
      <c r="A7" s="59" t="s">
        <v>206</v>
      </c>
      <c r="B7" s="57" t="s">
        <v>365</v>
      </c>
      <c r="C7" s="60" t="s">
        <v>147</v>
      </c>
      <c r="D7" s="64"/>
      <c r="E7" s="64"/>
    </row>
    <row r="8" spans="1:9" x14ac:dyDescent="0.3">
      <c r="A8" s="59" t="s">
        <v>23</v>
      </c>
      <c r="B8" s="57" t="s">
        <v>146</v>
      </c>
      <c r="C8" s="60" t="s">
        <v>147</v>
      </c>
      <c r="D8" s="39"/>
      <c r="E8" s="41"/>
    </row>
    <row r="9" spans="1:9" x14ac:dyDescent="0.3">
      <c r="A9" s="59" t="s">
        <v>70</v>
      </c>
      <c r="B9" s="57" t="s">
        <v>175</v>
      </c>
      <c r="C9" s="58" t="s">
        <v>147</v>
      </c>
      <c r="D9" s="42">
        <v>2000</v>
      </c>
      <c r="E9" s="41">
        <v>45915</v>
      </c>
    </row>
    <row r="10" spans="1:9" x14ac:dyDescent="0.3">
      <c r="A10" s="59" t="s">
        <v>228</v>
      </c>
      <c r="B10" s="57" t="s">
        <v>166</v>
      </c>
      <c r="C10" s="60" t="s">
        <v>147</v>
      </c>
      <c r="D10" s="39">
        <v>2000</v>
      </c>
      <c r="E10" s="40">
        <v>45762</v>
      </c>
    </row>
    <row r="11" spans="1:9" x14ac:dyDescent="0.3">
      <c r="A11" s="59" t="s">
        <v>76</v>
      </c>
      <c r="B11" s="57" t="s">
        <v>166</v>
      </c>
      <c r="C11" s="60" t="s">
        <v>147</v>
      </c>
      <c r="D11" s="42"/>
      <c r="E11" s="41"/>
    </row>
    <row r="12" spans="1:9" x14ac:dyDescent="0.3">
      <c r="A12" s="59" t="s">
        <v>27</v>
      </c>
      <c r="B12" s="57" t="s">
        <v>367</v>
      </c>
      <c r="C12" s="60" t="s">
        <v>147</v>
      </c>
      <c r="D12" s="42"/>
      <c r="E12" s="40"/>
    </row>
    <row r="13" spans="1:9" x14ac:dyDescent="0.3">
      <c r="A13" s="59" t="s">
        <v>232</v>
      </c>
      <c r="B13" s="57" t="s">
        <v>368</v>
      </c>
      <c r="C13" s="60" t="s">
        <v>147</v>
      </c>
      <c r="D13" s="42"/>
      <c r="E13" s="41"/>
    </row>
    <row r="14" spans="1:9" x14ac:dyDescent="0.3">
      <c r="A14" s="59" t="s">
        <v>35</v>
      </c>
      <c r="B14" s="57" t="s">
        <v>155</v>
      </c>
      <c r="C14" s="58" t="s">
        <v>156</v>
      </c>
      <c r="D14" s="42">
        <v>2000</v>
      </c>
      <c r="E14" s="41">
        <v>45884</v>
      </c>
    </row>
    <row r="15" spans="1:9" x14ac:dyDescent="0.3">
      <c r="A15" s="59" t="s">
        <v>36</v>
      </c>
      <c r="B15" s="57" t="s">
        <v>166</v>
      </c>
      <c r="C15" s="58" t="s">
        <v>147</v>
      </c>
      <c r="D15" s="42">
        <v>1000</v>
      </c>
      <c r="E15" s="41">
        <v>45853</v>
      </c>
    </row>
    <row r="16" spans="1:9" x14ac:dyDescent="0.3">
      <c r="A16" s="59" t="s">
        <v>38</v>
      </c>
      <c r="B16" s="57" t="s">
        <v>367</v>
      </c>
      <c r="C16" s="60" t="s">
        <v>147</v>
      </c>
      <c r="D16" s="42"/>
      <c r="E16" s="41"/>
    </row>
    <row r="17" spans="1:5" x14ac:dyDescent="0.3">
      <c r="A17" s="59" t="s">
        <v>40</v>
      </c>
      <c r="B17" s="57" t="s">
        <v>302</v>
      </c>
      <c r="C17" s="60" t="s">
        <v>147</v>
      </c>
      <c r="D17" s="42">
        <v>2500</v>
      </c>
      <c r="E17" s="41">
        <v>45874</v>
      </c>
    </row>
    <row r="18" spans="1:5" x14ac:dyDescent="0.3">
      <c r="A18" s="59" t="s">
        <v>369</v>
      </c>
      <c r="B18" s="57" t="s">
        <v>302</v>
      </c>
      <c r="C18" s="60" t="s">
        <v>147</v>
      </c>
      <c r="D18" s="42"/>
      <c r="E18" s="41"/>
    </row>
    <row r="19" spans="1:5" x14ac:dyDescent="0.3">
      <c r="A19" s="59" t="s">
        <v>42</v>
      </c>
      <c r="B19" s="57" t="s">
        <v>166</v>
      </c>
      <c r="C19" s="60" t="s">
        <v>147</v>
      </c>
      <c r="D19" s="42"/>
      <c r="E19" s="40"/>
    </row>
    <row r="20" spans="1:5" x14ac:dyDescent="0.3">
      <c r="A20" s="59" t="s">
        <v>47</v>
      </c>
      <c r="B20" s="57" t="s">
        <v>146</v>
      </c>
      <c r="C20" s="58" t="s">
        <v>147</v>
      </c>
      <c r="D20" s="39">
        <v>2500</v>
      </c>
      <c r="E20" s="40">
        <v>45672</v>
      </c>
    </row>
    <row r="21" spans="1:5" x14ac:dyDescent="0.3">
      <c r="A21" s="59" t="s">
        <v>73</v>
      </c>
      <c r="B21" s="57" t="s">
        <v>302</v>
      </c>
      <c r="C21" s="58" t="s">
        <v>147</v>
      </c>
      <c r="D21" s="65">
        <v>2000</v>
      </c>
      <c r="E21" s="66">
        <v>45931</v>
      </c>
    </row>
    <row r="22" spans="1:5" x14ac:dyDescent="0.3">
      <c r="A22" s="59" t="s">
        <v>312</v>
      </c>
      <c r="B22" s="57" t="s">
        <v>237</v>
      </c>
      <c r="C22" s="58" t="s">
        <v>156</v>
      </c>
      <c r="D22" s="42">
        <v>2000</v>
      </c>
      <c r="E22" s="41">
        <v>45889</v>
      </c>
    </row>
    <row r="23" spans="1:5" x14ac:dyDescent="0.3">
      <c r="A23" s="59" t="s">
        <v>51</v>
      </c>
      <c r="B23" s="57" t="s">
        <v>146</v>
      </c>
      <c r="C23" s="60" t="s">
        <v>147</v>
      </c>
      <c r="D23" s="39"/>
      <c r="E23" s="40"/>
    </row>
    <row r="24" spans="1:5" x14ac:dyDescent="0.3">
      <c r="A24" s="59" t="s">
        <v>55</v>
      </c>
      <c r="B24" s="57" t="s">
        <v>155</v>
      </c>
      <c r="C24" s="58" t="s">
        <v>156</v>
      </c>
      <c r="D24" s="42">
        <v>1500</v>
      </c>
      <c r="E24" s="41">
        <v>45915</v>
      </c>
    </row>
    <row r="25" spans="1:5" x14ac:dyDescent="0.3">
      <c r="A25" s="59" t="s">
        <v>56</v>
      </c>
      <c r="B25" s="57" t="s">
        <v>155</v>
      </c>
      <c r="C25" s="58" t="s">
        <v>156</v>
      </c>
      <c r="D25" s="42">
        <v>2500</v>
      </c>
      <c r="E25" s="41">
        <v>45848</v>
      </c>
    </row>
    <row r="26" spans="1:5" x14ac:dyDescent="0.3">
      <c r="A26" s="59" t="s">
        <v>329</v>
      </c>
      <c r="B26" s="57" t="s">
        <v>155</v>
      </c>
      <c r="C26" s="58" t="s">
        <v>156</v>
      </c>
      <c r="D26" s="42">
        <v>2500</v>
      </c>
      <c r="E26" s="41">
        <v>45971</v>
      </c>
    </row>
    <row r="27" spans="1:5" x14ac:dyDescent="0.3">
      <c r="A27" s="59" t="s">
        <v>74</v>
      </c>
      <c r="B27" s="57" t="s">
        <v>155</v>
      </c>
      <c r="C27" s="60" t="s">
        <v>156</v>
      </c>
      <c r="D27" s="42">
        <v>1700</v>
      </c>
      <c r="E27" s="41">
        <v>45884</v>
      </c>
    </row>
    <row r="28" spans="1:5" x14ac:dyDescent="0.3">
      <c r="A28" s="59" t="s">
        <v>332</v>
      </c>
      <c r="B28" s="57" t="s">
        <v>155</v>
      </c>
      <c r="C28" s="60" t="s">
        <v>156</v>
      </c>
      <c r="D28" s="42">
        <v>1500</v>
      </c>
      <c r="E28" s="41">
        <v>45858</v>
      </c>
    </row>
    <row r="29" spans="1:5" x14ac:dyDescent="0.3">
      <c r="A29" s="59" t="s">
        <v>58</v>
      </c>
      <c r="B29" s="57" t="s">
        <v>155</v>
      </c>
      <c r="C29" s="58" t="s">
        <v>156</v>
      </c>
      <c r="D29" s="39">
        <v>2500</v>
      </c>
      <c r="E29" s="40">
        <v>45778</v>
      </c>
    </row>
    <row r="30" spans="1:5" x14ac:dyDescent="0.3">
      <c r="A30" s="59" t="s">
        <v>344</v>
      </c>
      <c r="B30" s="57" t="s">
        <v>146</v>
      </c>
      <c r="C30" s="60" t="s">
        <v>147</v>
      </c>
      <c r="D30" s="39"/>
      <c r="E30" s="41"/>
    </row>
    <row r="31" spans="1:5" x14ac:dyDescent="0.3">
      <c r="A31" s="59" t="s">
        <v>346</v>
      </c>
      <c r="B31" s="57" t="s">
        <v>364</v>
      </c>
      <c r="C31" s="60" t="s">
        <v>147</v>
      </c>
      <c r="D31" s="42">
        <v>2500</v>
      </c>
      <c r="E31" s="41">
        <v>45901</v>
      </c>
    </row>
    <row r="32" spans="1:5" x14ac:dyDescent="0.3">
      <c r="A32" s="59" t="s">
        <v>347</v>
      </c>
      <c r="B32" s="57" t="s">
        <v>155</v>
      </c>
      <c r="C32" s="58" t="s">
        <v>156</v>
      </c>
      <c r="D32" s="42">
        <v>2000</v>
      </c>
      <c r="E32" s="41">
        <v>45915</v>
      </c>
    </row>
    <row r="33" spans="1:5" x14ac:dyDescent="0.3">
      <c r="A33" s="59" t="s">
        <v>60</v>
      </c>
      <c r="B33" s="57" t="s">
        <v>366</v>
      </c>
      <c r="C33" s="60" t="s">
        <v>147</v>
      </c>
      <c r="D33" s="39"/>
      <c r="E33" s="40"/>
    </row>
    <row r="34" spans="1:5" x14ac:dyDescent="0.3">
      <c r="A34" s="59" t="s">
        <v>63</v>
      </c>
      <c r="B34" s="57" t="s">
        <v>364</v>
      </c>
      <c r="C34" s="60" t="s">
        <v>147</v>
      </c>
      <c r="D34" s="42"/>
      <c r="E34" s="41"/>
    </row>
    <row r="35" spans="1:5" x14ac:dyDescent="0.3">
      <c r="A35" s="61" t="s">
        <v>64</v>
      </c>
      <c r="B35" s="57" t="s">
        <v>15</v>
      </c>
      <c r="C35" s="62" t="s">
        <v>147</v>
      </c>
      <c r="D35" s="39">
        <v>1000</v>
      </c>
      <c r="E35" s="40">
        <v>45778</v>
      </c>
    </row>
    <row r="36" spans="1:5" x14ac:dyDescent="0.3">
      <c r="D36" s="43">
        <f>SUM(D2:D35)</f>
        <v>38200</v>
      </c>
    </row>
  </sheetData>
  <autoFilter ref="A1:E36" xr:uid="{E4CDEAFE-F3D4-418F-81E2-4878E697C4EF}">
    <sortState xmlns:xlrd2="http://schemas.microsoft.com/office/spreadsheetml/2017/richdata2" ref="A2:E36">
      <sortCondition ref="A1:A36"/>
    </sortState>
  </autoFilter>
  <pageMargins left="0.7" right="0.7" top="0.75" bottom="0.75" header="0.3" footer="0.3"/>
  <pageSetup paperSize="9" scale="95" orientation="portrait" r:id="rId1"/>
  <colBreaks count="1" manualBreakCount="1">
    <brk id="3" max="3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131F-9824-4972-ABF7-E9D50E27521B}">
  <dimension ref="A1:AW5"/>
  <sheetViews>
    <sheetView zoomScale="70" zoomScaleNormal="70" workbookViewId="0">
      <selection activeCell="F5" sqref="E5:F5"/>
    </sheetView>
  </sheetViews>
  <sheetFormatPr baseColWidth="10" defaultColWidth="10.6640625" defaultRowHeight="14.4" x14ac:dyDescent="0.3"/>
  <cols>
    <col min="1" max="1" width="23.33203125" customWidth="1"/>
    <col min="2" max="2" width="20.5546875" customWidth="1"/>
    <col min="3" max="3" width="16.6640625" bestFit="1" customWidth="1"/>
    <col min="4" max="4" width="26.88671875" bestFit="1" customWidth="1"/>
    <col min="5" max="5" width="17.33203125" bestFit="1" customWidth="1"/>
    <col min="6" max="6" width="32.44140625" bestFit="1" customWidth="1"/>
    <col min="8" max="8" width="17.44140625" bestFit="1" customWidth="1"/>
    <col min="9" max="9" width="16.6640625" bestFit="1" customWidth="1"/>
    <col min="10" max="10" width="16.44140625" customWidth="1"/>
  </cols>
  <sheetData>
    <row r="1" spans="1:49" s="19" customFormat="1" x14ac:dyDescent="0.3">
      <c r="A1" s="10" t="s">
        <v>0</v>
      </c>
      <c r="B1" s="10" t="s">
        <v>77</v>
      </c>
      <c r="C1" s="10" t="s">
        <v>1</v>
      </c>
      <c r="D1" s="10" t="s">
        <v>2</v>
      </c>
      <c r="E1" s="10" t="s">
        <v>3</v>
      </c>
      <c r="F1" s="10" t="s">
        <v>4</v>
      </c>
      <c r="G1" s="11" t="s">
        <v>5</v>
      </c>
      <c r="H1" s="12" t="s">
        <v>78</v>
      </c>
      <c r="I1" s="21" t="s">
        <v>6</v>
      </c>
      <c r="J1" s="10" t="s">
        <v>79</v>
      </c>
    </row>
    <row r="2" spans="1:49" s="19" customFormat="1" ht="29.4" customHeight="1" x14ac:dyDescent="0.3">
      <c r="A2" s="13" t="s">
        <v>80</v>
      </c>
      <c r="B2" s="14" t="s">
        <v>81</v>
      </c>
      <c r="C2" s="24" t="s">
        <v>82</v>
      </c>
      <c r="D2" s="15" t="s">
        <v>83</v>
      </c>
      <c r="E2" s="13"/>
      <c r="F2" s="15"/>
      <c r="G2" s="22" t="s">
        <v>84</v>
      </c>
      <c r="H2" s="17" t="s">
        <v>85</v>
      </c>
      <c r="I2" s="17" t="s">
        <v>86</v>
      </c>
      <c r="J2" s="18" t="s">
        <v>8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</row>
    <row r="3" spans="1:49" s="20" customFormat="1" ht="22.5" customHeight="1" x14ac:dyDescent="0.3">
      <c r="A3" s="13" t="s">
        <v>87</v>
      </c>
      <c r="B3" s="14" t="s">
        <v>17</v>
      </c>
      <c r="C3" s="18" t="s">
        <v>88</v>
      </c>
      <c r="D3" s="15" t="s">
        <v>89</v>
      </c>
      <c r="E3" s="33" t="s">
        <v>90</v>
      </c>
      <c r="F3" s="35" t="s">
        <v>91</v>
      </c>
      <c r="G3" s="22" t="s">
        <v>92</v>
      </c>
      <c r="H3" s="16" t="s">
        <v>93</v>
      </c>
      <c r="I3" s="16" t="s">
        <v>94</v>
      </c>
      <c r="J3" s="18" t="s">
        <v>16</v>
      </c>
    </row>
    <row r="4" spans="1:49" s="20" customFormat="1" ht="22.5" customHeight="1" x14ac:dyDescent="0.3">
      <c r="A4" s="13" t="s">
        <v>95</v>
      </c>
      <c r="B4" s="14" t="s">
        <v>17</v>
      </c>
      <c r="C4" s="14" t="s">
        <v>96</v>
      </c>
      <c r="D4" s="14" t="s">
        <v>97</v>
      </c>
      <c r="E4" s="14" t="s">
        <v>98</v>
      </c>
      <c r="F4" s="14" t="s">
        <v>99</v>
      </c>
      <c r="G4" s="23" t="s">
        <v>100</v>
      </c>
      <c r="H4" s="16" t="s">
        <v>101</v>
      </c>
      <c r="I4" s="16" t="s">
        <v>102</v>
      </c>
      <c r="J4" s="18" t="s">
        <v>11</v>
      </c>
    </row>
    <row r="5" spans="1:49" s="33" customFormat="1" ht="22.5" customHeight="1" x14ac:dyDescent="0.3">
      <c r="A5" s="38" t="s">
        <v>103</v>
      </c>
      <c r="B5" s="30" t="s">
        <v>12</v>
      </c>
      <c r="C5" s="30" t="s">
        <v>13</v>
      </c>
      <c r="D5" s="48" t="s">
        <v>19</v>
      </c>
      <c r="E5" s="29" t="s">
        <v>104</v>
      </c>
      <c r="F5" s="36" t="s">
        <v>105</v>
      </c>
      <c r="G5" s="51"/>
      <c r="H5" s="34"/>
      <c r="I5" s="34"/>
      <c r="J5" s="50"/>
      <c r="K5" s="29"/>
      <c r="L5" s="31"/>
      <c r="M5" s="37" t="s">
        <v>106</v>
      </c>
      <c r="N5" s="32" t="s">
        <v>107</v>
      </c>
      <c r="O5" s="32"/>
      <c r="P5" s="32" t="s">
        <v>108</v>
      </c>
      <c r="Q5" s="32"/>
      <c r="R5" s="33" t="s">
        <v>7</v>
      </c>
      <c r="S5" s="33" t="s">
        <v>109</v>
      </c>
    </row>
  </sheetData>
  <hyperlinks>
    <hyperlink ref="D2" r:id="rId1" xr:uid="{E6D6054D-840A-4235-A641-9A0A0B61AE0C}"/>
    <hyperlink ref="D3" r:id="rId2" xr:uid="{C238595E-4C8E-4039-B40A-E07254D6E043}"/>
    <hyperlink ref="F3" r:id="rId3" xr:uid="{8B47571E-2A25-47BB-82FD-6CFF0CD303F7}"/>
    <hyperlink ref="F5" r:id="rId4" xr:uid="{E8E1227C-F94E-434A-80DB-3FFF411279A2}"/>
    <hyperlink ref="D5" r:id="rId5" xr:uid="{8E6E4F0A-8993-4623-9505-F6B67BAC3ADF}"/>
  </hyperlinks>
  <pageMargins left="0.7" right="0.7" top="0.75" bottom="0.75" header="0.3" footer="0.3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D32A-D323-4A1B-9BCD-A1C7F59B54EB}">
  <dimension ref="A1:B26"/>
  <sheetViews>
    <sheetView topLeftCell="A16" zoomScaleNormal="100" workbookViewId="0">
      <selection sqref="A1:B1"/>
    </sheetView>
  </sheetViews>
  <sheetFormatPr baseColWidth="10" defaultColWidth="11.44140625" defaultRowHeight="14.4" x14ac:dyDescent="0.3"/>
  <cols>
    <col min="1" max="1" width="45" customWidth="1"/>
    <col min="2" max="2" width="22.88671875" customWidth="1"/>
  </cols>
  <sheetData>
    <row r="1" spans="1:2" ht="19.8" x14ac:dyDescent="0.7">
      <c r="A1" s="63" t="s">
        <v>110</v>
      </c>
      <c r="B1" s="63"/>
    </row>
    <row r="2" spans="1:2" ht="19.8" x14ac:dyDescent="0.7">
      <c r="A2" s="1" t="s">
        <v>0</v>
      </c>
      <c r="B2" s="1" t="s">
        <v>111</v>
      </c>
    </row>
    <row r="3" spans="1:2" ht="19.8" x14ac:dyDescent="0.7">
      <c r="A3" s="2" t="s">
        <v>112</v>
      </c>
      <c r="B3" s="3">
        <v>45324</v>
      </c>
    </row>
    <row r="4" spans="1:2" ht="19.8" x14ac:dyDescent="0.7">
      <c r="A4" s="5" t="s">
        <v>113</v>
      </c>
      <c r="B4" s="6">
        <v>45330</v>
      </c>
    </row>
    <row r="5" spans="1:2" ht="19.8" x14ac:dyDescent="0.7">
      <c r="A5" s="5" t="s">
        <v>114</v>
      </c>
      <c r="B5" s="6">
        <v>45339</v>
      </c>
    </row>
    <row r="6" spans="1:2" ht="19.8" x14ac:dyDescent="0.7">
      <c r="A6" s="5" t="s">
        <v>115</v>
      </c>
      <c r="B6" s="6">
        <v>45342</v>
      </c>
    </row>
    <row r="7" spans="1:2" ht="19.8" x14ac:dyDescent="0.7">
      <c r="A7" s="7" t="s">
        <v>62</v>
      </c>
      <c r="B7" s="6">
        <v>45365</v>
      </c>
    </row>
    <row r="8" spans="1:2" ht="19.8" x14ac:dyDescent="0.7">
      <c r="A8" s="7" t="s">
        <v>46</v>
      </c>
      <c r="B8" s="6">
        <v>45385</v>
      </c>
    </row>
    <row r="9" spans="1:2" ht="19.8" x14ac:dyDescent="0.7">
      <c r="A9" s="2" t="s">
        <v>116</v>
      </c>
      <c r="B9" s="3">
        <v>45422</v>
      </c>
    </row>
    <row r="10" spans="1:2" ht="19.8" x14ac:dyDescent="0.7">
      <c r="A10" s="2" t="s">
        <v>117</v>
      </c>
      <c r="B10" s="3">
        <v>45433</v>
      </c>
    </row>
    <row r="11" spans="1:2" ht="19.8" x14ac:dyDescent="0.7">
      <c r="A11" s="2" t="s">
        <v>24</v>
      </c>
      <c r="B11" s="3">
        <v>45443</v>
      </c>
    </row>
    <row r="12" spans="1:2" ht="19.8" x14ac:dyDescent="0.7">
      <c r="A12" s="2" t="s">
        <v>118</v>
      </c>
      <c r="B12" s="3">
        <v>45455</v>
      </c>
    </row>
    <row r="13" spans="1:2" ht="19.8" x14ac:dyDescent="0.7">
      <c r="A13" s="2" t="s">
        <v>59</v>
      </c>
      <c r="B13" s="3">
        <v>45460</v>
      </c>
    </row>
    <row r="14" spans="1:2" ht="19.8" x14ac:dyDescent="0.7">
      <c r="A14" s="2" t="s">
        <v>119</v>
      </c>
      <c r="B14" s="3">
        <v>45496</v>
      </c>
    </row>
    <row r="15" spans="1:2" ht="19.8" x14ac:dyDescent="0.7">
      <c r="A15" s="2" t="s">
        <v>120</v>
      </c>
      <c r="B15" s="3">
        <v>45498</v>
      </c>
    </row>
    <row r="16" spans="1:2" ht="19.8" x14ac:dyDescent="0.7">
      <c r="A16" s="8" t="s">
        <v>121</v>
      </c>
      <c r="B16" s="3">
        <v>45503</v>
      </c>
    </row>
    <row r="17" spans="1:2" ht="19.8" x14ac:dyDescent="0.7">
      <c r="A17" s="2" t="s">
        <v>122</v>
      </c>
      <c r="B17" s="3" t="s">
        <v>123</v>
      </c>
    </row>
    <row r="18" spans="1:2" ht="19.8" x14ac:dyDescent="0.7">
      <c r="A18" s="2" t="s">
        <v>124</v>
      </c>
      <c r="B18" s="3" t="s">
        <v>125</v>
      </c>
    </row>
    <row r="19" spans="1:2" ht="19.8" x14ac:dyDescent="0.7">
      <c r="A19" s="2" t="s">
        <v>126</v>
      </c>
      <c r="B19" s="3">
        <v>45517</v>
      </c>
    </row>
    <row r="20" spans="1:2" ht="19.8" x14ac:dyDescent="0.7">
      <c r="A20" s="2" t="s">
        <v>127</v>
      </c>
      <c r="B20" s="3">
        <v>45537</v>
      </c>
    </row>
    <row r="21" spans="1:2" ht="19.8" x14ac:dyDescent="0.7">
      <c r="A21" s="2" t="s">
        <v>128</v>
      </c>
      <c r="B21" s="3">
        <v>45539</v>
      </c>
    </row>
    <row r="22" spans="1:2" ht="19.8" x14ac:dyDescent="0.7">
      <c r="A22" s="2" t="s">
        <v>129</v>
      </c>
      <c r="B22" s="3">
        <v>45545</v>
      </c>
    </row>
    <row r="23" spans="1:2" ht="19.8" x14ac:dyDescent="0.7">
      <c r="A23" s="2" t="s">
        <v>130</v>
      </c>
      <c r="B23" s="3">
        <v>45553</v>
      </c>
    </row>
    <row r="24" spans="1:2" ht="19.8" x14ac:dyDescent="0.7">
      <c r="A24" s="2" t="s">
        <v>131</v>
      </c>
      <c r="B24" s="3">
        <v>45567</v>
      </c>
    </row>
    <row r="25" spans="1:2" ht="19.8" x14ac:dyDescent="0.7">
      <c r="A25" s="5" t="s">
        <v>132</v>
      </c>
      <c r="B25" s="6">
        <v>45575</v>
      </c>
    </row>
    <row r="26" spans="1:2" ht="19.8" x14ac:dyDescent="0.7">
      <c r="A26" s="4" t="s">
        <v>133</v>
      </c>
      <c r="B26" s="9" t="s">
        <v>134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Directorio 2025</vt:lpstr>
      <vt:lpstr>nuevos 2025 </vt:lpstr>
      <vt:lpstr>Cancelados 2025</vt:lpstr>
      <vt:lpstr>nuevos 2024</vt:lpstr>
      <vt:lpstr>'nuevos 2025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ALSUM ALSUM</dc:creator>
  <cp:keywords/>
  <dc:description/>
  <cp:lastModifiedBy>Ferreinox Ltda</cp:lastModifiedBy>
  <cp:revision/>
  <dcterms:created xsi:type="dcterms:W3CDTF">2024-11-07T13:31:19Z</dcterms:created>
  <dcterms:modified xsi:type="dcterms:W3CDTF">2026-02-02T19:27:41Z</dcterms:modified>
  <cp:category/>
  <cp:contentStatus/>
</cp:coreProperties>
</file>